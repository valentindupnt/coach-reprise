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Exercices" sheetId="2" state="visible" r:id="rId4"/>
    <sheet name="Entraînements" sheetId="3" state="visible" r:id="rId5"/>
    <sheet name="Programmes" sheetId="4" state="visible" r:id="rId6"/>
  </sheets>
  <definedNames>
    <definedName function="false" hidden="true" localSheetId="2" name="_xlnm._FilterDatabase" vbProcedure="false">Entraînements!$A$1:$O$76</definedName>
    <definedName function="false" hidden="true" localSheetId="1" name="_xlnm._FilterDatabase" vbProcedure="false">Exercices!$A$1:$W$147</definedName>
    <definedName function="false" hidden="true" localSheetId="3" name="_xlnm._FilterDatabase" vbProcedure="false">Programmes!$A$1:$F$85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<sst xmlns="http://schemas.openxmlformats.org/spreadsheetml/2006/main" count="3584" uniqueCount="1662">
  <si>
    <t xml:space="preserve">Relecture du contenu V5 (bloc 2)</t>
  </si>
  <si>
    <t xml:space="preserve">Rien de ce tableur n'apparaît dans l'app tant que ce n'est pas validé : tout est importé « à valider ».</t>
  </si>
  <si>
    <t xml:space="preserve">Ce que tu remplis (cases jaunes)</t>
  </si>
  <si>
    <t xml:space="preserve">Validé</t>
  </si>
  <si>
    <t xml:space="preserve">oui / non / à revoir</t>
  </si>
  <si>
    <t xml:space="preserve">oui : l'exercice ou l'entraînement devient visible. non : il reste caché. à revoir : précise dans Commentaire.</t>
  </si>
  <si>
    <t xml:space="preserve">Vidéo OK</t>
  </si>
  <si>
    <t xml:space="preserve">oui / non</t>
  </si>
  <si>
    <t xml:space="preserve">non : je cherche une autre vidéo.</t>
  </si>
  <si>
    <t xml:space="preserve">Commentaire</t>
  </si>
  <si>
    <t xml:space="preserve">texte libre</t>
  </si>
  <si>
    <t xml:space="preserve">Ce qu'il faut changer (consigne, niveau, intensité, vidéo...).</t>
  </si>
  <si>
    <t xml:space="preserve">Exemple</t>
  </si>
  <si>
    <t xml:space="preserve">Validé = oui</t>
  </si>
  <si>
    <t xml:space="preserve">Vidéo OK = non ; Commentaire = « vidéo trop rapide, en trouver une plus pédagogique »</t>
  </si>
  <si>
    <t xml:space="preserve">Où en est la relecture</t>
  </si>
  <si>
    <t xml:space="preserve">Nombre</t>
  </si>
  <si>
    <t xml:space="preserve">Exercices au total</t>
  </si>
  <si>
    <t xml:space="preserve">Dont nouveaux</t>
  </si>
  <si>
    <t xml:space="preserve">Exercices validés</t>
  </si>
  <si>
    <t xml:space="preserve">Exercices à revoir</t>
  </si>
  <si>
    <t xml:space="preserve">Vidéos refusées</t>
  </si>
  <si>
    <t xml:space="preserve">Entraînements au total</t>
  </si>
  <si>
    <t xml:space="preserve">Entraînements validés</t>
  </si>
  <si>
    <t xml:space="preserve">Exercices restant à relire</t>
  </si>
  <si>
    <t xml:space="preserve">Poids pour estimer les calories (kg)</t>
  </si>
  <si>
    <t xml:space="preserve">Exemple : 60 kg. Change-le pour voir les calories des entraînements à ton poids.</t>
  </si>
  <si>
    <t xml:space="preserve">À savoir</t>
  </si>
  <si>
    <t xml:space="preserve">Un entraînement validé ne s'affiche que si tous ses exercices sont validés aussi.</t>
  </si>
  <si>
    <t xml:space="preserve">Les 43 exercices existants gardent leur nom, leurs consignes et leurs niveaux : seules les étiquettes, le tutoriel, la source et la vidéo sont nouveaux.</t>
  </si>
  <si>
    <t xml:space="preserve">Calories : MET x poids x durée (Compendium 2024). La colonne des entraînements prend 60 kg pour exemple ; l'app utilisera le poids du profil.</t>
  </si>
  <si>
    <t xml:space="preserve">Sources : free-exercise-db (base ouverte, domaine public), NHS, Harvard Health, Yoga Journal, Yogamatters et références scientifiques. Aucun texte n'est copié.</t>
  </si>
  <si>
    <t xml:space="preserve">Vidéos : liens YouTube trouvés en ligne, en français quand c'était possible. Je ne peux pas les regarder : c'est à toi de vérifier qu'elles montrent le bon mouvement.</t>
  </si>
  <si>
    <t xml:space="preserve">Identifiant</t>
  </si>
  <si>
    <t xml:space="preserve">Nom</t>
  </si>
  <si>
    <t xml:space="preserve">Statut</t>
  </si>
  <si>
    <t xml:space="preserve">Discipline</t>
  </si>
  <si>
    <t xml:space="preserve">Zones</t>
  </si>
  <si>
    <t xml:space="preserve">Objectifs</t>
  </si>
  <si>
    <t xml:space="preserve">Intensité (1 à 5)</t>
  </si>
  <si>
    <t xml:space="preserve">Sauts</t>
  </si>
  <si>
    <t xml:space="preserve">Matériel nécessaire</t>
  </si>
  <si>
    <t xml:space="preserve">Par défaut</t>
  </si>
  <si>
    <t xml:space="preserve">Niveaux</t>
  </si>
  <si>
    <t xml:space="preserve">Muscles principaux</t>
  </si>
  <si>
    <t xml:space="preserve">Muscles secondaires</t>
  </si>
  <si>
    <t xml:space="preserve">MET (Compendium 2024)</t>
  </si>
  <si>
    <t xml:space="preserve">Consignes</t>
  </si>
  <si>
    <t xml:space="preserve">Précaution</t>
  </si>
  <si>
    <t xml:space="preserve">Respiration</t>
  </si>
  <si>
    <t xml:space="preserve">Erreurs fréquentes</t>
  </si>
  <si>
    <t xml:space="preserve">Sources</t>
  </si>
  <si>
    <t xml:space="preserve">Vidéo proposée</t>
  </si>
  <si>
    <t xml:space="preserve">squat</t>
  </si>
  <si>
    <t xml:space="preserve">Squat au poids du corps</t>
  </si>
  <si>
    <t xml:space="preserve">Nouveau</t>
  </si>
  <si>
    <t xml:space="preserve">renforcement</t>
  </si>
  <si>
    <t xml:space="preserve">jambes, fessiers</t>
  </si>
  <si>
    <t xml:space="preserve">renforcer, tonifier</t>
  </si>
  <si>
    <t xml:space="preserve">non</t>
  </si>
  <si>
    <t xml:space="preserve">aucun</t>
  </si>
  <si>
    <t xml:space="preserve">12 répétitions</t>
  </si>
  <si>
    <t xml:space="preserve">1. Amplitude confortable (10 rép.)
2. Cuisses parallèles au sol (12 rép.)
3. Descente lente en 3 s (12 rép.)
4. Pause de 2 s en bas (15 rép.)</t>
  </si>
  <si>
    <t xml:space="preserve">Quadriceps, Grand fessier</t>
  </si>
  <si>
    <t xml:space="preserve">Ischio-jambiers, Adducteurs, Bas du dos (lombaires)</t>
  </si>
  <si>
    <t xml:space="preserve">3 (code 02056, Renforcement au poids du corps, général)</t>
  </si>
  <si>
    <t xml:space="preserve">Debout, pieds un peu plus écartés que les hanches, pointes légèrement ouvertes.
Pousse les fesses en arrière et descends comme pour t'asseoir, poitrine ouverte.
Remonte en poussant dans tout le pied, genoux dans l'axe des orteils.</t>
  </si>
  <si>
    <t xml:space="preserve">Descends seulement jusqu'où ton dos reste long et tes talons au sol.</t>
  </si>
  <si>
    <t xml:space="preserve">Inspire en descendant, expire en remontant.</t>
  </si>
  <si>
    <t xml:space="preserve">Genoux qui rentrent vers l'intérieur.
Talons qui décollent.
Dos qui s'arrondit en bas.</t>
  </si>
  <si>
    <t xml:space="preserve">free-exercise-db (domaine public), fiche Bodyweight Squat : https://github.com/yuhonas/free-exercise-db/blob/main/exercises/Bodyweight_Squat.json
NHS, Strength exercises : https://www.nhs.uk/live-well/exercise/strength-and-flexibility-exercises/strength-exercises/</t>
  </si>
  <si>
    <t xml:space="preserve">Comment faire des squats de la bonne façon au poids du corps ou avec charge (français)
https://www.youtube.com/watch?v=EMfbjJWIllU</t>
  </si>
  <si>
    <t xml:space="preserve">squat_sumo</t>
  </si>
  <si>
    <t xml:space="preserve">Squat sumo</t>
  </si>
  <si>
    <t xml:space="preserve">1. Amplitude confortable (10 rép.)
2. Cuisses parallèles au sol (12 rép.)
3. Pause de 2 s en bas (12 rép.)
4. Haltère tenu des deux mains (12 rép.)</t>
  </si>
  <si>
    <t xml:space="preserve">Adducteurs, Grand fessier, Quadriceps</t>
  </si>
  <si>
    <t xml:space="preserve">Ischio-jambiers</t>
  </si>
  <si>
    <t xml:space="preserve">Pieds bien plus écartés que les épaules, pointes tournées vers l'extérieur.
Descends le bassin à la verticale, buste droit, genoux ouverts vers les pieds.
Remonte en serrant les fessiers.</t>
  </si>
  <si>
    <t xml:space="preserve">Les genoux suivent toujours la direction des pointes de pied.</t>
  </si>
  <si>
    <t xml:space="preserve">Pencher le buste en avant.
Laisser les genoux se refermer.</t>
  </si>
  <si>
    <t xml:space="preserve">free-exercise-db (domaine public), fiche Plie Dumbbell Squat : https://github.com/yuhonas/free-exercise-db/blob/main/exercises/Plie_Dumbbell_Squat.json</t>
  </si>
  <si>
    <t xml:space="preserve">Comment faire un squat sumo (français)
https://www.youtube.com/watch?v=xnvkQeZ_XaE</t>
  </si>
  <si>
    <t xml:space="preserve">chaise_mur</t>
  </si>
  <si>
    <t xml:space="preserve">Chaise contre le mur</t>
  </si>
  <si>
    <t xml:space="preserve">jambes</t>
  </si>
  <si>
    <t xml:space="preserve">mur</t>
  </si>
  <si>
    <t xml:space="preserve">30 s</t>
  </si>
  <si>
    <t xml:space="preserve">1. Genoux peu fléchis (20 s)
2. Genoux peu fléchis (30 s)
3. Cuisses presque parallèles au sol (30 s)
4. Cuisses parallèles au sol (45 s)</t>
  </si>
  <si>
    <t xml:space="preserve">Quadriceps</t>
  </si>
  <si>
    <t xml:space="preserve">Grand fessier, Adducteurs</t>
  </si>
  <si>
    <t xml:space="preserve">Dos plaqué contre le mur, pieds à environ 50 cm du mur.
Glisse vers le bas jusqu'à la hauteur choisie, genoux au-dessus des chevilles.
Tiens la position, mains sur les cuisses ou bras croisés.</t>
  </si>
  <si>
    <t xml:space="preserve">Si une douleur apparaît dans le genou, remonte un peu.</t>
  </si>
  <si>
    <t xml:space="preserve">Respire calmement, sans bloquer.</t>
  </si>
  <si>
    <t xml:space="preserve">Genoux qui dépassent largement les orteils.
Appuyer les mains sur les cuisses pour tricher.</t>
  </si>
  <si>
    <t xml:space="preserve">NHS, Strength exercises : https://www.nhs.uk/live-well/exercise/strength-and-flexibility-exercises/strength-exercises/</t>
  </si>
  <si>
    <t xml:space="preserve">La chaise murale : endurance et cuisses sans matériel (tuto rapide) (français)
https://www.youtube.com/watch?v=-NuqBMIgrcc</t>
  </si>
  <si>
    <t xml:space="preserve">fente_avant</t>
  </si>
  <si>
    <t xml:space="preserve">Fente avant</t>
  </si>
  <si>
    <t xml:space="preserve">10 répétitions</t>
  </si>
  <si>
    <t xml:space="preserve">1. Fente sur place, petite amplitude (8 rép.)
2. Fente sur place (10 rép.)
3. Pas en avant puis retour (10 rép.)
4. Haltères en main (10 rép.)</t>
  </si>
  <si>
    <t xml:space="preserve">Ischio-jambiers, Adducteurs</t>
  </si>
  <si>
    <t xml:space="preserve">3.8 (code 02022, Callisthénie modérée (pompes, fentes))</t>
  </si>
  <si>
    <t xml:space="preserve">Debout, fais un grand pas en avant.
Descends le genou arrière vers le sol, buste droit.
Pousse sur le pied avant pour revenir. Alterne les jambes.</t>
  </si>
  <si>
    <t xml:space="preserve">Le genou avant reste au-dessus de la cheville. Tiens-toi à une chaise si l'équilibre est difficile.</t>
  </si>
  <si>
    <t xml:space="preserve">Pas trop court : le genou avant part loin devant.
Buste penché vers l'avant.</t>
  </si>
  <si>
    <t xml:space="preserve">free-exercise-db (domaine public), fiche Bodyweight Walking Lunge : https://github.com/yuhonas/free-exercise-db/blob/main/exercises/Bodyweight_Walking_Lunge.json
NHS, Strength exercises : https://www.nhs.uk/live-well/exercise/strength-and-flexibility-exercises/strength-exercises/</t>
  </si>
  <si>
    <t xml:space="preserve">Comment faire les fentes : technique et erreurs à éviter (français)
https://www.youtube.com/watch?v=HH9FQpjXw7A</t>
  </si>
  <si>
    <t xml:space="preserve">fente_arriere</t>
  </si>
  <si>
    <t xml:space="preserve">Fente arrière</t>
  </si>
  <si>
    <t xml:space="preserve">1. Main sur une chaise, petite amplitude (8 rép.)
2. Sans appui (10 rép.)
3. Descente lente en 3 s (10 rép.)
4. Haltères en main (10 rép.)</t>
  </si>
  <si>
    <t xml:space="preserve">Grand fessier, Quadriceps</t>
  </si>
  <si>
    <t xml:space="preserve">Debout, recule un pied d'un grand pas.
Fléchis les deux genoux, le genou arrière descend vers le sol.
Reviens en poussant sur le talon avant. Alterne.</t>
  </si>
  <si>
    <t xml:space="preserve">Plus facile pour les genoux que la fente avant : bon choix pour commencer.</t>
  </si>
  <si>
    <t xml:space="preserve">Inspire en reculant, expire en revenant.</t>
  </si>
  <si>
    <t xml:space="preserve">Pieds sur la même ligne : on perd l'équilibre.
Genou arrière qui tape le sol.</t>
  </si>
  <si>
    <t xml:space="preserve">free-exercise-db (domaine public), fiche Dumbbell Rear Lunge : https://github.com/yuhonas/free-exercise-db/blob/main/exercises/Dumbbell_Rear_Lunge.json</t>
  </si>
  <si>
    <t xml:space="preserve">Comment faire une fente arrière correctement ? (français)
https://www.youtube.com/watch?v=Zz8DrsAUIZo</t>
  </si>
  <si>
    <t xml:space="preserve">fente_laterale</t>
  </si>
  <si>
    <t xml:space="preserve">Fente latérale</t>
  </si>
  <si>
    <t xml:space="preserve">renforcer, tonifier, mobilite</t>
  </si>
  <si>
    <t xml:space="preserve">1. Petite amplitude (8 rép.)
2. Amplitude complète (10 rép.)
3. Pause de 2 s en bas (10 rép.)</t>
  </si>
  <si>
    <t xml:space="preserve">Adducteurs, Quadriceps, Grand fessier</t>
  </si>
  <si>
    <t xml:space="preserve">Moyen fessier</t>
  </si>
  <si>
    <t xml:space="preserve">Debout, pieds joints. Fais un grand pas sur le côté.
Plie le genou de ce côté et pousse les fesses en arrière, l'autre jambe reste tendue.
Reviens au centre en poussant sur le pied. Alterne.</t>
  </si>
  <si>
    <t xml:space="preserve">Les deux pieds restent à plat et pointent vers l'avant.</t>
  </si>
  <si>
    <t xml:space="preserve">Inspire en descendant, expire en revenant.</t>
  </si>
  <si>
    <t xml:space="preserve">Genou plié qui rentre vers l'intérieur.
Dos arrondi.</t>
  </si>
  <si>
    <t xml:space="preserve">free-exercise-db (domaine public), fiche Barbell Side Split Squat : https://github.com/yuhonas/free-exercise-db/blob/main/exercises/Barbell_Side_Split_Squat.json</t>
  </si>
  <si>
    <t xml:space="preserve">Musculation des cuisses : fentes latérales (français)
https://www.youtube.com/watch?v=3EvkUQHvFkI</t>
  </si>
  <si>
    <t xml:space="preserve">fente_bulgare</t>
  </si>
  <si>
    <t xml:space="preserve">Fente bulgare (pied arrière sur une chaise)</t>
  </si>
  <si>
    <t xml:space="preserve">chaise</t>
  </si>
  <si>
    <t xml:space="preserve">8 répétitions</t>
  </si>
  <si>
    <t xml:space="preserve">1. Petite amplitude, main au mur (6 rép.)
2. Amplitude complète (8 rép.)
3. Descente lente en 3 s (8 rép.)
4. Haltères en main (8 rép.)</t>
  </si>
  <si>
    <t xml:space="preserve">Ischio-jambiers, Adducteurs, Moyen fessier</t>
  </si>
  <si>
    <t xml:space="preserve">Dos à une chaise stable, pose le dessus du pied arrière sur l'assise.
Descends à la verticale sur la jambe avant, buste légèrement penché.
Remonte en poussant dans le talon avant. Fais toutes les répétitions, puis change.</t>
  </si>
  <si>
    <t xml:space="preserve">Chaise calée contre un mur pour qu'elle ne glisse pas.</t>
  </si>
  <si>
    <t xml:space="preserve">Pied avant trop près de la chaise.
Pousser avec la jambe arrière.</t>
  </si>
  <si>
    <t xml:space="preserve">free-exercise-db (domaine public), fiche Split Squats : https://github.com/yuhonas/free-exercise-db/blob/main/exercises/Split_Squats.json</t>
  </si>
  <si>
    <t xml:space="preserve">Fentes bulgares sur chaise : exécution, technique, conseils et progression (français)
https://www.youtube.com/watch?v=M1xhRlf8poM</t>
  </si>
  <si>
    <t xml:space="preserve">pont_unilateral</t>
  </si>
  <si>
    <t xml:space="preserve">Pont fessier sur une jambe</t>
  </si>
  <si>
    <t xml:space="preserve">fessiers, jambes</t>
  </si>
  <si>
    <t xml:space="preserve">1. Jambe libre pliée (8 rép.)
2. Jambe libre tendue (10 rép.)
3. Pause de 2 s en haut (10 rép.)</t>
  </si>
  <si>
    <t xml:space="preserve">Grand fessier</t>
  </si>
  <si>
    <t xml:space="preserve">Ischio-jambiers, Moyen fessier, Bas du dos (lombaires)</t>
  </si>
  <si>
    <t xml:space="preserve">Allonge-toi sur le dos, un pied à plat, l'autre jambe en l'air.
Pousse dans le talon au sol et monte le bassin bien droit.
Redescends lentement. Change de jambe à mi-série.</t>
  </si>
  <si>
    <t xml:space="preserve">Le bassin reste horizontal : s'il penche, reviens au pont sur deux jambes.</t>
  </si>
  <si>
    <t xml:space="preserve">Expire en montant, inspire en redescendant.</t>
  </si>
  <si>
    <t xml:space="preserve">Bassin qui penche du côté de la jambe levée.
Cambrer le dos en haut.</t>
  </si>
  <si>
    <t xml:space="preserve">free-exercise-db (domaine public), fiche Single Leg Glute Bridge : https://github.com/yuhonas/free-exercise-db/blob/main/exercises/Single_Leg_Glute_Bridge.json</t>
  </si>
  <si>
    <t xml:space="preserve">Pont fessier à une jambe : single leg glute bridge (français)
https://www.youtube.com/watch?v=43qFZebHGj8</t>
  </si>
  <si>
    <t xml:space="preserve">hip_thrust</t>
  </si>
  <si>
    <t xml:space="preserve">Hip thrust, épaules sur le canapé</t>
  </si>
  <si>
    <t xml:space="preserve">fessiers</t>
  </si>
  <si>
    <t xml:space="preserve">1. Poids du corps (10 rép.)
2. Poids du corps, pause de 2 s (12 rép.)
3. Haltère posé sur le bassin (12 rép.)
4. Une jambe (8 rép.)</t>
  </si>
  <si>
    <t xml:space="preserve">Ischio-jambiers, Quadriceps</t>
  </si>
  <si>
    <t xml:space="preserve">Assieds-toi au sol, le haut du dos appuyé contre le bord d'un canapé ou d'un lit.
Pieds à plat, pousse dans les talons pour monter le bassin jusqu'à l'horizontale.
Menton rentré, serre les fessiers en haut, puis redescends.</t>
  </si>
  <si>
    <t xml:space="preserve">Le support doit être stable et bas (hauteur de genou environ).</t>
  </si>
  <si>
    <t xml:space="preserve">Cambrer le bas du dos en haut.
Regarder le plafond : la nuque se casse.</t>
  </si>
  <si>
    <t xml:space="preserve">free-exercise-db (domaine public), fiche Barbell Hip Thrust : https://github.com/yuhonas/free-exercise-db/blob/main/exercises/Barbell_Hip_Thrust.json</t>
  </si>
  <si>
    <t xml:space="preserve">Tuto : muscler les fessiers avec le hip thrust (Decathlon) (français)
https://www.youtube.com/watch?v=34xR5kn02xY</t>
  </si>
  <si>
    <t xml:space="preserve">ruade</t>
  </si>
  <si>
    <t xml:space="preserve">Ruade (donkey kick)</t>
  </si>
  <si>
    <t xml:space="preserve">tonifier, renforcer</t>
  </si>
  <si>
    <t xml:space="preserve">1. Petite amplitude (10 rép.)
2. Amplitude complète (12 rép.)
3. Élastique autour des cuisses (12 rép.)
4. Pause de 2 s en haut (15 rép.)</t>
  </si>
  <si>
    <t xml:space="preserve">Ischio-jambiers, Abdominaux profonds</t>
  </si>
  <si>
    <t xml:space="preserve">À quatre pattes, mains sous les épaules, genoux sous les hanches.
Genou plié à angle droit, pousse la plante du pied vers le plafond.
Reviens sans poser le genou. Change de côté à mi-série.</t>
  </si>
  <si>
    <t xml:space="preserve">Monte seulement tant que le dos reste plat.</t>
  </si>
  <si>
    <t xml:space="preserve">Expire en poussant, inspire en revenant.</t>
  </si>
  <si>
    <t xml:space="preserve">Creuser le dos pour monter plus haut.
Ouvrir la hanche sur le côté.</t>
  </si>
  <si>
    <t xml:space="preserve">free-exercise-db (domaine public), fiche Glute Kickback : https://github.com/yuhonas/free-exercise-db/blob/main/exercises/Glute_Kickback.json</t>
  </si>
  <si>
    <t xml:space="preserve">How To: Donkey Kicks for Glute Strength (anglais)
https://www.youtube.com/watch?v=vElEKAdulIE</t>
  </si>
  <si>
    <t xml:space="preserve">bouche_incendie</t>
  </si>
  <si>
    <t xml:space="preserve">Bouche d'incendie (fire hydrant)</t>
  </si>
  <si>
    <t xml:space="preserve">1. Petite amplitude (10 rép.)
2. Amplitude complète (12 rép.)
3. Élastique autour des cuisses (12 rép.)</t>
  </si>
  <si>
    <t xml:space="preserve">Grand fessier, Abdominaux profonds</t>
  </si>
  <si>
    <t xml:space="preserve">À quatre pattes, dos plat.
Garde le genou plié et ouvre la cuisse sur le côté, comme une porte.
Redescends lentement. Change de côté à mi-série.</t>
  </si>
  <si>
    <t xml:space="preserve">Le buste ne bascule pas : seule la jambe bouge.</t>
  </si>
  <si>
    <t xml:space="preserve">Expire en ouvrant, inspire en refermant.</t>
  </si>
  <si>
    <t xml:space="preserve">Pencher tout le corps du côté opposé.
Aller trop vite.</t>
  </si>
  <si>
    <t xml:space="preserve">free-exercise-db (domaine public), fiche Thigh Abductor : https://github.com/yuhonas/free-exercise-db/blob/main/exercises/Thigh_Abductor.json</t>
  </si>
  <si>
    <t xml:space="preserve">Fire hydrants : exécution, technique, conseils et progression (français)
https://www.youtube.com/watch?v=6yoip-ClM34</t>
  </si>
  <si>
    <t xml:space="preserve">charniere_hanche</t>
  </si>
  <si>
    <t xml:space="preserve">Charnière de hanche (good morning) au poids du corps</t>
  </si>
  <si>
    <t xml:space="preserve">jambes, dos, fessiers</t>
  </si>
  <si>
    <t xml:space="preserve">renforcer, mobilite</t>
  </si>
  <si>
    <t xml:space="preserve">1. Mains sur les hanches (10 rép.)
2. Mains derrière la tête (12 rép.)
3. Élastique sous les pieds, sur la nuque (12 rép.)</t>
  </si>
  <si>
    <t xml:space="preserve">Ischio-jambiers, Grand fessier</t>
  </si>
  <si>
    <t xml:space="preserve">Bas du dos (lombaires)</t>
  </si>
  <si>
    <t xml:space="preserve">Debout, pieds largeur de hanches, genoux légèrement fléchis.
Pousse les fesses loin en arrière, le buste descend dos plat.
Arrête quand tu sens l'arrière des cuisses tirer, puis remonte en serrant les fessiers.</t>
  </si>
  <si>
    <t xml:space="preserve">Le dos reste plat du début à la fin : c'est la hanche qui plie.</t>
  </si>
  <si>
    <t xml:space="preserve">Arrondir le dos.
Plier les genoux comme pour un squat.</t>
  </si>
  <si>
    <t xml:space="preserve">free-exercise-db (domaine public), fiche Band Good Morning : https://github.com/yuhonas/free-exercise-db/blob/main/exercises/Band_Good_Morning.json</t>
  </si>
  <si>
    <t xml:space="preserve">How to Do a Good Morning Exercise (Perfect Hip Hinge Form for Beginners) (anglais)
https://www.youtube.com/watch?v=9ylRcYLSz40</t>
  </si>
  <si>
    <t xml:space="preserve">souleve_roumain</t>
  </si>
  <si>
    <t xml:space="preserve">Soulevé de terre roumain aux haltères</t>
  </si>
  <si>
    <t xml:space="preserve">jambes, fessiers, dos</t>
  </si>
  <si>
    <t xml:space="preserve">renforcer</t>
  </si>
  <si>
    <t xml:space="preserve">halteres</t>
  </si>
  <si>
    <t xml:space="preserve">1. Haltères légers (10 rép.)
2. Haltères moyens (10 rép.)
3. Descente lente en 3 s (10 rép.)
4. Sur une jambe, main à la chaise (8 rép.)</t>
  </si>
  <si>
    <t xml:space="preserve">Bas du dos (lombaires), Trapèzes, Avant-bras</t>
  </si>
  <si>
    <t xml:space="preserve">5 (code 02052, Squats et soulevés de terre)</t>
  </si>
  <si>
    <t xml:space="preserve">Debout, un haltère dans chaque main devant les cuisses.
Pousse les fesses en arrière et fais glisser les haltères le long des jambes.
Descends jusqu'au milieu des tibias, dos plat, puis remonte en serrant les fessiers.</t>
  </si>
  <si>
    <t xml:space="preserve">Garde les haltères au contact des jambes : plus ils s'éloignent, plus le dos travaille.</t>
  </si>
  <si>
    <t xml:space="preserve">Dos arrondi.
Haltères qui partent vers l'avant.
Descendre trop bas sans souplesse.</t>
  </si>
  <si>
    <t xml:space="preserve">free-exercise-db (domaine public), fiche Romanian Deadlift : https://github.com/yuhonas/free-exercise-db/blob/main/exercises/Romanian_Deadlift.json
free-exercise-db (domaine public), fiche Stiff-Legged Dumbbell Deadlift : https://github.com/yuhonas/free-exercise-db/blob/main/exercises/Stiff-Legged_Dumbbell_Deadlift.json</t>
  </si>
  <si>
    <t xml:space="preserve">Deadlift roumain avec haltères : exécution, technique, conseils et progression (français)
https://www.youtube.com/watch?v=hyBx3QViCw8</t>
  </si>
  <si>
    <t xml:space="preserve">squat_goblet</t>
  </si>
  <si>
    <t xml:space="preserve">Squat goblet à l'haltère</t>
  </si>
  <si>
    <t xml:space="preserve">1. Haltère léger (10 rép.)
2. Haltère moyen (10 rép.)
3. Pause de 2 s en bas (10 rép.)
4. Haltère lourd (8 rép.)</t>
  </si>
  <si>
    <t xml:space="preserve">Adducteurs, Abdominaux profonds, Bas du dos (lombaires)</t>
  </si>
  <si>
    <t xml:space="preserve">Tiens un haltère vertical contre la poitrine, coudes vers le bas.
Descends en squat, les coudes passent entre les genoux.
Remonte en poussant dans les talons, buste droit.</t>
  </si>
  <si>
    <t xml:space="preserve">L'haltère reste collé à la poitrine pendant tout le mouvement.</t>
  </si>
  <si>
    <t xml:space="preserve">Laisser l'haltère tirer le buste vers l'avant.
Talons qui décollent.</t>
  </si>
  <si>
    <t xml:space="preserve">free-exercise-db (domaine public), fiche Goblet Squat : https://github.com/yuhonas/free-exercise-db/blob/main/exercises/Goblet_Squat.json</t>
  </si>
  <si>
    <t xml:space="preserve">Goblet squat : exécution, technique, conseils et progression (français)
https://www.youtube.com/watch?v=QNPVhVsJS2A</t>
  </si>
  <si>
    <t xml:space="preserve">releve_mollets_unipodal</t>
  </si>
  <si>
    <t xml:space="preserve">Montée sur pointe, une jambe</t>
  </si>
  <si>
    <t xml:space="preserve">1. Main au mur, amplitude confortable (10 rép.)
2. Descente lente en 3 s (12 rép.)
3. Talon dans le vide, sur une marche (12 rép.)</t>
  </si>
  <si>
    <t xml:space="preserve">Mollets</t>
  </si>
  <si>
    <t xml:space="preserve">Debout sur une jambe, une main au mur pour l'équilibre.
Monte le plus haut possible sur la pointe du pied.
Redescends lentement. Change de jambe.</t>
  </si>
  <si>
    <t xml:space="preserve">Le genou reste juste déverrouillé.</t>
  </si>
  <si>
    <t xml:space="preserve">Expire en montant, inspire en descendant.</t>
  </si>
  <si>
    <t xml:space="preserve">Rebondir en bas.
Cheville qui part vers l'extérieur.</t>
  </si>
  <si>
    <t xml:space="preserve">free-exercise-db (domaine public), fiche Standing Dumbbell Calf Raise : https://github.com/yuhonas/free-exercise-db/blob/main/exercises/Standing_Dumbbell_Calf_Raise.json</t>
  </si>
  <si>
    <t xml:space="preserve">Mollets : mollets debout à une jambe (français)
https://www.youtube.com/watch?v=jGUplusFlEY</t>
  </si>
  <si>
    <t xml:space="preserve">adducteurs_couche</t>
  </si>
  <si>
    <t xml:space="preserve">Levée de jambe intérieure (adducteurs)</t>
  </si>
  <si>
    <t xml:space="preserve">15 répétitions</t>
  </si>
  <si>
    <t xml:space="preserve">1. Petite amplitude (12 rép.)
2. Pause de 2 s en haut (15 rép.)
3. Élastique aux chevilles (15 rép.)</t>
  </si>
  <si>
    <t xml:space="preserve">Adducteurs</t>
  </si>
  <si>
    <t xml:space="preserve">Abdominaux profonds</t>
  </si>
  <si>
    <t xml:space="preserve">Allonge-toi sur le côté, la jambe du dessus pliée et posée devant toi.
Monte la jambe du dessous tendue, de quelques centimètres.
Redescends sans poser complètement. Change de côté.</t>
  </si>
  <si>
    <t xml:space="preserve">Petit mouvement, sans élan.</t>
  </si>
  <si>
    <t xml:space="preserve">Rouler vers l'arrière.
Pointe du pied tournée vers le plafond.</t>
  </si>
  <si>
    <t xml:space="preserve">free-exercise-db (domaine public), fiche Thigh Adductor : https://github.com/yuhonas/free-exercise-db/blob/main/exercises/Thigh_Adductor.json
free-exercise-db (domaine public), fiche Band Hip Adductions : https://github.com/yuhonas/free-exercise-db/blob/main/exercises/Band_Hip_Adductions.json</t>
  </si>
  <si>
    <t xml:space="preserve">Exercice intérieur des cuisses (adducteurs) : levé de jambe allongé (français)
https://www.youtube.com/watch?v=3EiBfcTLZDE</t>
  </si>
  <si>
    <t xml:space="preserve">pont_marche</t>
  </si>
  <si>
    <t xml:space="preserve">Pont fessier en marche</t>
  </si>
  <si>
    <t xml:space="preserve">gainage</t>
  </si>
  <si>
    <t xml:space="preserve">fessiers, abdos</t>
  </si>
  <si>
    <t xml:space="preserve">1. Pied soulevé de 5 cm (8 rép.)
2. Genou ramené vers la poitrine (10 rép.)
3. Pause de 2 s par pas (10 rép.)</t>
  </si>
  <si>
    <t xml:space="preserve">Ischio-jambiers, Obliques</t>
  </si>
  <si>
    <t xml:space="preserve">2.8 (code 02024, Callisthénie légère (crunchs, planche))</t>
  </si>
  <si>
    <t xml:space="preserve">En position de pont, bassin levé.
Soulève un pied, puis l'autre, comme si tu marchais sur place.
Le bassin reste haut et immobile.</t>
  </si>
  <si>
    <t xml:space="preserve">Si le bassin tourne ou descend, reviens au pont classique.</t>
  </si>
  <si>
    <t xml:space="preserve">Respire à chaque pas, sans bloquer.</t>
  </si>
  <si>
    <t xml:space="preserve">Bassin qui s'affaisse.
Hanches qui basculent d'un côté à l'autre.</t>
  </si>
  <si>
    <t xml:space="preserve">free-exercise-db (domaine public), fiche Butt Lift Bridge : https://github.com/yuhonas/free-exercise-db/blob/main/exercises/Butt_Lift_Bridge.json</t>
  </si>
  <si>
    <t xml:space="preserve">How to Do a Glute Bridge March (anglais)
https://www.youtube.com/watch?v=8-invS7-Ugo</t>
  </si>
  <si>
    <t xml:space="preserve">squat_unipodal_chaise</t>
  </si>
  <si>
    <t xml:space="preserve">Squat sur une jambe vers une chaise</t>
  </si>
  <si>
    <t xml:space="preserve">calisthenie</t>
  </si>
  <si>
    <t xml:space="preserve">6 répétitions</t>
  </si>
  <si>
    <t xml:space="preserve">1. Chaise haute, une main au mur (5 rép.)
2. Chaise haute (6 rép.)
3. Chaise basse (6 rép.)
4. Descente lente en 4 s (6 rép.)</t>
  </si>
  <si>
    <t xml:space="preserve">Moyen fessier, Ischio-jambiers, Abdominaux profonds</t>
  </si>
  <si>
    <t xml:space="preserve">Debout devant une chaise, sur une jambe, l'autre tendue devant toi.
Descends lentement jusqu'à t'asseoir, bras tendus devant pour l'équilibre.
Relève-toi sur la même jambe. Change de jambe.</t>
  </si>
  <si>
    <t xml:space="preserve">Étape vers le pistol squat. Pose les deux pieds si le genou rentre vers l'intérieur.</t>
  </si>
  <si>
    <t xml:space="preserve">Inspire en descendant, expire en te relevant.</t>
  </si>
  <si>
    <t xml:space="preserve">Se laisser tomber sur la chaise.
Genou qui part vers l'intérieur.</t>
  </si>
  <si>
    <t xml:space="preserve">free-exercise-db (domaine public), fiche Single-Leg High Box Squat : https://github.com/yuhonas/free-exercise-db/blob/main/exercises/Single-Leg_High_Box_Squat.json
free-exercise-db (domaine public), fiche Kettlebell Pistol Squat : https://github.com/yuhonas/free-exercise-db/blob/main/exercises/Kettlebell_Pistol_Squat.json</t>
  </si>
  <si>
    <t xml:space="preserve">Pistol squat, squat à 1 jambe (alternatives et progression) (français)
https://www.youtube.com/watch?v=STa-MCOn3xM</t>
  </si>
  <si>
    <t xml:space="preserve">pompe_mur</t>
  </si>
  <si>
    <t xml:space="preserve">Pompe au mur</t>
  </si>
  <si>
    <t xml:space="preserve">bras, epaules</t>
  </si>
  <si>
    <t xml:space="preserve">1. Pieds proches du mur (10 rép.)
2. Pieds plus éloignés (12 rép.)
3. Descente lente en 3 s (12 rép.)</t>
  </si>
  <si>
    <t xml:space="preserve">Pectoraux, Triceps</t>
  </si>
  <si>
    <t xml:space="preserve">Épaules (avant), Abdominaux profonds</t>
  </si>
  <si>
    <t xml:space="preserve">Face au mur, mains à plat à hauteur d'épaules, un peu plus écartées.
Plie les coudes pour approcher la poitrine du mur, corps gainé.
Repousse le mur pour revenir.</t>
  </si>
  <si>
    <t xml:space="preserve">Plus les pieds sont loin du mur, plus c'est difficile.</t>
  </si>
  <si>
    <t xml:space="preserve">Inspire en descendant, expire en poussant.</t>
  </si>
  <si>
    <t xml:space="preserve">Coudes ouverts à 90° du corps.
Fesses en arrière.</t>
  </si>
  <si>
    <t xml:space="preserve">NHS, Strength exercises : https://www.nhs.uk/live-well/exercise/strength-and-flexibility-exercises/strength-exercises/
free-exercise-db (domaine public), fiche Incline Push-Up : https://github.com/yuhonas/free-exercise-db/blob/main/exercises/Incline_Push-Up.json</t>
  </si>
  <si>
    <t xml:space="preserve">Pompes contre le mur pour débutants (français)
https://www.youtube.com/watch?v=emhF1efZ-38</t>
  </si>
  <si>
    <t xml:space="preserve">pompe_inclinee</t>
  </si>
  <si>
    <t xml:space="preserve">Pompe inclinée (mains sur une chaise)</t>
  </si>
  <si>
    <t xml:space="preserve">1. Mains sur un plan haut (table) (8 rép.)
2. Mains sur l'assise (10 rép.)
3. Descente lente en 3 s (10 rép.)</t>
  </si>
  <si>
    <t xml:space="preserve">Mains sur l'assise d'une chaise calée contre le mur, corps en planche.
Descends la poitrine vers la chaise, coudes à 45° du corps.
Pousse pour revenir, corps bien aligné.</t>
  </si>
  <si>
    <t xml:space="preserve">La chaise ne doit pas pouvoir glisser.</t>
  </si>
  <si>
    <t xml:space="preserve">Bassin qui s'affaisse.
Tête qui avance vers la chaise.</t>
  </si>
  <si>
    <t xml:space="preserve">free-exercise-db (domaine public), fiche Incline Push-Up : https://github.com/yuhonas/free-exercise-db/blob/main/exercises/Incline_Push-Up.json</t>
  </si>
  <si>
    <t xml:space="preserve">Pompes inclinées (français)
https://www.youtube.com/watch?v=pH9hQDirfog</t>
  </si>
  <si>
    <t xml:space="preserve">pompe_genoux</t>
  </si>
  <si>
    <t xml:space="preserve">Pompe sur les genoux</t>
  </si>
  <si>
    <t xml:space="preserve">1. Demi-amplitude (8 rép.)
2. Amplitude complète (10 rép.)
3. Descente lente en 3 s (10 rép.)</t>
  </si>
  <si>
    <t xml:space="preserve">À genoux, mains au sol sous les épaules, un peu plus écartées.
Aligne genoux, hanches et épaules, puis descends la poitrine vers le sol.
Repousse le sol pour remonter.</t>
  </si>
  <si>
    <t xml:space="preserve">Un coussin sous les genoux rend l'exercice plus confortable.</t>
  </si>
  <si>
    <t xml:space="preserve">Fesses en l'air.
Coudes ouverts sur les côtés.</t>
  </si>
  <si>
    <t xml:space="preserve">free-exercise-db (domaine public), fiche Pushups : https://github.com/yuhonas/free-exercise-db/blob/main/exercises/Pushups.json</t>
  </si>
  <si>
    <t xml:space="preserve">Pompe sur les genoux : démonstration, explication et conseils (français)
https://www.youtube.com/watch?v=SWUw2epT8P4</t>
  </si>
  <si>
    <t xml:space="preserve">pompe</t>
  </si>
  <si>
    <t xml:space="preserve">Pompe</t>
  </si>
  <si>
    <t xml:space="preserve">bras, epaules, abdos</t>
  </si>
  <si>
    <t xml:space="preserve">1. 5 pompes propres (5 rép.)
2. 8 pompes (8 rép.)
3. 10 pompes (10 rép.)
4. Descente lente en 3 s (10 rép.)</t>
  </si>
  <si>
    <t xml:space="preserve">Épaules (avant), Abdominaux (grand droit), Abdominaux profonds</t>
  </si>
  <si>
    <t xml:space="preserve">Mains au sol un peu plus larges que les épaules, corps droit de la tête aux talons.
Descends la poitrine jusqu'à quelques centimètres du sol, coudes à 45°.
Pousse le sol pour revenir, sans casser l'alignement.</t>
  </si>
  <si>
    <t xml:space="preserve">Si le bassin s'affaisse, passe à la pompe sur les genoux.</t>
  </si>
  <si>
    <t xml:space="preserve">Bassin qui s'affaisse.
Tête qui plonge vers le sol.
Coudes à 90° du corps.</t>
  </si>
  <si>
    <t xml:space="preserve">Comment bien faire les pompes (évitez les erreurs courantes et progressez) (français)
https://www.youtube.com/watch?v=V9TUK5IdRrY</t>
  </si>
  <si>
    <t xml:space="preserve">pompe_serree</t>
  </si>
  <si>
    <t xml:space="preserve">Pompe mains serrées (triceps)</t>
  </si>
  <si>
    <t xml:space="preserve">bras</t>
  </si>
  <si>
    <t xml:space="preserve">1. Sur les genoux (8 rép.)
2. Sur les pieds (6 rép.)
3. Sur les pieds (8 rép.)</t>
  </si>
  <si>
    <t xml:space="preserve">Triceps</t>
  </si>
  <si>
    <t xml:space="preserve">Pectoraux, Épaules (avant)</t>
  </si>
  <si>
    <t xml:space="preserve">En position de pompe, mains sous les épaules, rapprochées.
Descends en gardant les coudes collés au corps.
Pousse pour remonter.</t>
  </si>
  <si>
    <t xml:space="preserve">Plus exigeant pour les poignets : écarte un peu les mains si besoin.</t>
  </si>
  <si>
    <t xml:space="preserve">Coudes qui s'ouvrent.
Bassin qui s'affaisse.</t>
  </si>
  <si>
    <t xml:space="preserve">free-exercise-db (domaine public), fiche Push-Ups - Close Triceps Position : https://github.com/yuhonas/free-exercise-db/blob/main/exercises/Push-Ups_-_Close_Triceps_Position.json</t>
  </si>
  <si>
    <t xml:space="preserve">Les pompes prise serrée pour les triceps (pour qui, comment, variantes) (français)
https://www.youtube.com/watch?v=FvnPL4cYUQk</t>
  </si>
  <si>
    <t xml:space="preserve">pompe_pike</t>
  </si>
  <si>
    <t xml:space="preserve">Pompe en V (pike push-up)</t>
  </si>
  <si>
    <t xml:space="preserve">epaules, bras</t>
  </si>
  <si>
    <t xml:space="preserve">1. Petite amplitude (6 rép.)
2. Front vers le sol (8 rép.)
3. Pieds surélevés sur une chaise (6 rép.)</t>
  </si>
  <si>
    <t xml:space="preserve">Épaules (avant), Triceps</t>
  </si>
  <si>
    <t xml:space="preserve">Trapèzes, Pectoraux</t>
  </si>
  <si>
    <t xml:space="preserve">Mains au sol, fesses hautes : ton corps forme un V à l'envers.
Plie les coudes pour descendre le sommet du crâne vers le sol, entre les mains.
Repousse pour revenir.</t>
  </si>
  <si>
    <t xml:space="preserve">Descends lentement : le poids est sur les épaules et la tête approche du sol.</t>
  </si>
  <si>
    <t xml:space="preserve">Coudes qui partent sur les côtés.
Fesses qui descendent : ça devient une pompe classique.</t>
  </si>
  <si>
    <t xml:space="preserve">free-exercise-db (domaine public), fiche Handstand Push-Ups : https://github.com/yuhonas/free-exercise-db/blob/main/exercises/Handstand_Push-Ups.json</t>
  </si>
  <si>
    <t xml:space="preserve">Pike push up (niveau 1) (français)
https://www.youtube.com/watch?v=NrkGYnsgbOA</t>
  </si>
  <si>
    <t xml:space="preserve">dips_chaise</t>
  </si>
  <si>
    <t xml:space="preserve">Dips sur chaise</t>
  </si>
  <si>
    <t xml:space="preserve">1. Genoux pliés, petite amplitude (8 rép.)
2. Genoux pliés (10 rép.)
3. Jambes tendues (10 rép.)</t>
  </si>
  <si>
    <t xml:space="preserve">Dos à une chaise stable, mains sur le bord de l'assise, doigts vers l'avant.
Plie les coudes vers l'arrière pour descendre les fesses.
Remonte en tendant les bras.</t>
  </si>
  <si>
    <t xml:space="preserve">Descends jusqu'à ce que les bras soient à angle droit, pas plus bas.</t>
  </si>
  <si>
    <t xml:space="preserve">Épaules qui remontent vers les oreilles.
Coudes qui s'écartent.
S'éloigner de la chaise.</t>
  </si>
  <si>
    <t xml:space="preserve">free-exercise-db (domaine public), fiche Bench Dips : https://github.com/yuhonas/free-exercise-db/blob/main/exercises/Bench_Dips.json</t>
  </si>
  <si>
    <t xml:space="preserve">Dips sur chaise : exécution, technique, conseils et progression (français)
https://www.youtube.com/watch?v=hIB3YWZk834</t>
  </si>
  <si>
    <t xml:space="preserve">rowing_haltere</t>
  </si>
  <si>
    <t xml:space="preserve">Rowing à un bras à l'haltère</t>
  </si>
  <si>
    <t xml:space="preserve">dos, bras</t>
  </si>
  <si>
    <t xml:space="preserve">1. Haltère léger (12 rép.)
2. Haltère moyen (10 rép.)
3. Pause de 2 s coude en arrière (10 rép.)</t>
  </si>
  <si>
    <t xml:space="preserve">Grand dorsal, Haut du dos (rhomboïdes)</t>
  </si>
  <si>
    <t xml:space="preserve">Biceps, Épaules (arrière)</t>
  </si>
  <si>
    <t xml:space="preserve">3.5 (code 02054, Renforcement, 8 à 15 répétitions, résistance variée)</t>
  </si>
  <si>
    <t xml:space="preserve">Une main et un genou sur une chaise, l'autre pied au sol, dos plat.
Tire l'haltère vers la hanche, coude près du corps.
Redescends lentement. Change de côté.</t>
  </si>
  <si>
    <t xml:space="preserve">Le dos reste plat et immobile, sans rotation.</t>
  </si>
  <si>
    <t xml:space="preserve">Expire en tirant, inspire en descendant.</t>
  </si>
  <si>
    <t xml:space="preserve">Tourner le buste pour monter l'haltère.
Tirer vers l'épaule au lieu de la hanche.</t>
  </si>
  <si>
    <t xml:space="preserve">free-exercise-db (domaine public), fiche One-Arm Dumbbell Row : https://github.com/yuhonas/free-exercise-db/blob/main/exercises/One-Arm_Dumbbell_Row.json</t>
  </si>
  <si>
    <t xml:space="preserve">Musculation du dos : le rowing haltère à 1 bras (français)
https://www.youtube.com/watch?v=VLzDhlGdpS0</t>
  </si>
  <si>
    <t xml:space="preserve">developpe_epaules</t>
  </si>
  <si>
    <t xml:space="preserve">Développé épaules aux haltères</t>
  </si>
  <si>
    <t xml:space="preserve">1. Assis, haltères légers (10 rép.)
2. Debout (10 rép.)
3. Haltères moyens (10 rép.)</t>
  </si>
  <si>
    <t xml:space="preserve">Épaules (avant), Épaules (côté)</t>
  </si>
  <si>
    <t xml:space="preserve">Triceps, Trapèzes</t>
  </si>
  <si>
    <t xml:space="preserve">Haltères à hauteur d'épaules, paumes vers l'avant, ventre gainé.
Pousse vers le haut jusqu'à tendre les bras.
Redescends lentement à hauteur d'oreilles.</t>
  </si>
  <si>
    <t xml:space="preserve">Ne cambre pas le bas du dos pour pousser : allège la charge.</t>
  </si>
  <si>
    <t xml:space="preserve">Expire en poussant, inspire en descendant.</t>
  </si>
  <si>
    <t xml:space="preserve">Cambrer le dos.
Descendre trop vite.</t>
  </si>
  <si>
    <t xml:space="preserve">free-exercise-db (domaine public), fiche Dumbbell Shoulder Press : https://github.com/yuhonas/free-exercise-db/blob/main/exercises/Dumbbell_Shoulder_Press.json</t>
  </si>
  <si>
    <t xml:space="preserve">Technique du développé épaules aux haltères (assis ou debout) (français)
https://www.youtube.com/watch?v=CE9KiCPFw0E</t>
  </si>
  <si>
    <t xml:space="preserve">curl_marteau</t>
  </si>
  <si>
    <t xml:space="preserve">Curl marteau aux haltères</t>
  </si>
  <si>
    <t xml:space="preserve">1. Haltères légers (12 rép.)
2. Haltères moyens (10 rép.)
3. Descente lente en 3 s (10 rép.)</t>
  </si>
  <si>
    <t xml:space="preserve">Biceps, Avant-bras</t>
  </si>
  <si>
    <t xml:space="preserve">Debout, un haltère dans chaque main, paumes face à face.
Plie les coudes pour monter les haltères vers les épaules.
Redescends lentement, coudes collés au corps.</t>
  </si>
  <si>
    <t xml:space="preserve">Pas d'élan avec le dos.</t>
  </si>
  <si>
    <t xml:space="preserve">Balancer le buste.
Coudes qui avancent.</t>
  </si>
  <si>
    <t xml:space="preserve">free-exercise-db (domaine public), fiche Hammer Curls : https://github.com/yuhonas/free-exercise-db/blob/main/exercises/Hammer_Curls.json</t>
  </si>
  <si>
    <t xml:space="preserve">Comment faire un curl marteau : technique correcte pour les biceps (français)
https://www.youtube.com/watch?v=CsZSbMuqDYw</t>
  </si>
  <si>
    <t xml:space="preserve">extension_triceps_haltere</t>
  </si>
  <si>
    <t xml:space="preserve">Extension des triceps au-dessus de la tête</t>
  </si>
  <si>
    <t xml:space="preserve">1. Assis, haltère léger (12 rép.)
2. Debout (12 rép.)
3. Haltère moyen (10 rép.)</t>
  </si>
  <si>
    <t xml:space="preserve">Tiens un haltère à deux mains au-dessus de la tête.
Plie les coudes pour descendre l'haltère derrière la nuque.
Tends les bras pour remonter, coudes pointés vers l'avant.</t>
  </si>
  <si>
    <t xml:space="preserve">Garde les côtes basses : pas de cambrure.</t>
  </si>
  <si>
    <t xml:space="preserve">Inspire en descendant, expire en tendant.</t>
  </si>
  <si>
    <t xml:space="preserve">Coudes qui s'écartent.
Cambrer le dos.</t>
  </si>
  <si>
    <t xml:space="preserve">free-exercise-db (domaine public), fiche Standing Dumbbell Triceps Extension : https://github.com/yuhonas/free-exercise-db/blob/main/exercises/Standing_Dumbbell_Triceps_Extension.json</t>
  </si>
  <si>
    <t xml:space="preserve">Extension triceps avec haltère : démonstration, muscles, variantes, conseils et progression (français)
https://www.youtube.com/watch?v=Reitru3_Srk</t>
  </si>
  <si>
    <t xml:space="preserve">oiseau_haltere</t>
  </si>
  <si>
    <t xml:space="preserve">Oiseau aux haltères (arrière d'épaule)</t>
  </si>
  <si>
    <t xml:space="preserve">epaules, dos</t>
  </si>
  <si>
    <t xml:space="preserve">1. Haltères très légers (12 rép.)
2. Pause de 2 s bras ouverts (12 rép.)
3. Haltères légers (12 rép.)</t>
  </si>
  <si>
    <t xml:space="preserve">Épaules (arrière), Haut du dos (rhomboïdes)</t>
  </si>
  <si>
    <t xml:space="preserve">Trapèzes</t>
  </si>
  <si>
    <t xml:space="preserve">Penché en avant, dos plat, genoux fléchis, haltères sous les épaules.
Ouvre les bras sur les côtés, coudes légèrement fléchis.
Serre les omoplates en haut, puis redescends lentement.</t>
  </si>
  <si>
    <t xml:space="preserve">Des charges très légères suffisent.</t>
  </si>
  <si>
    <t xml:space="preserve">Expire en ouvrant, inspire en redescendant.</t>
  </si>
  <si>
    <t xml:space="preserve">Se redresser pour monter les bras.
Hausser les épaules.</t>
  </si>
  <si>
    <t xml:space="preserve">free-exercise-db (domaine public), fiche Bent Over Low-Pulley Side Lateral : https://github.com/yuhonas/free-exercise-db/blob/main/exercises/Bent_Over_Low-Pulley_Side_Lateral.json</t>
  </si>
  <si>
    <t xml:space="preserve">Oiseau buste penché avec haltères (français)
https://www.youtube.com/watch?v=mzbY2Vd0Mts</t>
  </si>
  <si>
    <t xml:space="preserve">developpe_sol</t>
  </si>
  <si>
    <t xml:space="preserve">Développé au sol aux haltères</t>
  </si>
  <si>
    <t xml:space="preserve">1. Haltères légers (12 rép.)
2. Haltères moyens (10 rép.)
3. Pause de 1 s coudes au sol (10 rép.)</t>
  </si>
  <si>
    <t xml:space="preserve">Épaules (avant)</t>
  </si>
  <si>
    <t xml:space="preserve">Allongé sur le dos, genoux pliés, un haltère dans chaque main.
Pousse les haltères vers le plafond jusqu'à tendre les bras.
Redescends jusqu'à poser doucement les coudes au sol.</t>
  </si>
  <si>
    <t xml:space="preserve">Coudes à environ 45° du corps.</t>
  </si>
  <si>
    <t xml:space="preserve">Laisser tomber les coudes au sol.
Coudes à angle droit du corps.</t>
  </si>
  <si>
    <t xml:space="preserve">free-exercise-db (domaine public), fiche Dumbbell Floor Press : https://github.com/yuhonas/free-exercise-db/blob/main/exercises/Dumbbell_Floor_Press.json</t>
  </si>
  <si>
    <t xml:space="preserve">Développé couché au sol : un développé couché pas comme les autres (français)
https://www.youtube.com/watch?v=WVfLGkuhHHU</t>
  </si>
  <si>
    <t xml:space="preserve">tirage_vertical_elastique</t>
  </si>
  <si>
    <t xml:space="preserve">Tirage vertical à l'élastique</t>
  </si>
  <si>
    <t xml:space="preserve">elastique</t>
  </si>
  <si>
    <t xml:space="preserve">1. Élastique léger (12 rép.)
2. Élastique moyen (12 rép.)
3. Pause de 2 s en bas (10 rép.)</t>
  </si>
  <si>
    <t xml:space="preserve">Grand dorsal</t>
  </si>
  <si>
    <t xml:space="preserve">Biceps, Haut du dos (rhomboïdes)</t>
  </si>
  <si>
    <t xml:space="preserve">Élastique fixé en haut d'une porte fermée, à genoux face à la porte.
Bras tendus vers le haut, tire les coudes vers les côtes.
Remonte lentement en gardant les épaules basses.</t>
  </si>
  <si>
    <t xml:space="preserve">Vérifie que l'élastique est bien coincé dans une porte fermée à clé ou ouvrant vers l'extérieur.</t>
  </si>
  <si>
    <t xml:space="preserve">Expire en tirant, inspire en remontant.</t>
  </si>
  <si>
    <t xml:space="preserve">Se pencher en arrière.
Hausser les épaules.</t>
  </si>
  <si>
    <t xml:space="preserve">free-exercise-db (domaine public), fiche Band Assisted Pull-Up : https://github.com/yuhonas/free-exercise-db/blob/main/exercises/Band_Assisted_Pull-Up.json</t>
  </si>
  <si>
    <t xml:space="preserve">Tirage vertical à l'élastique (français)
https://www.youtube.com/watch?v=8rSNwrdPgN4</t>
  </si>
  <si>
    <t xml:space="preserve">developpe_elastique</t>
  </si>
  <si>
    <t xml:space="preserve">Développé épaules à l'élastique</t>
  </si>
  <si>
    <t xml:space="preserve">epaules</t>
  </si>
  <si>
    <t xml:space="preserve">1. Élastique léger (12 rép.)
2. Élastique moyen (12 rép.)
3. Un bras à la fois (10 rép.)</t>
  </si>
  <si>
    <t xml:space="preserve">Debout sur l'élastique, mains à hauteur d'épaules.
Pousse vers le haut jusqu'à tendre les bras.
Redescends lentement.</t>
  </si>
  <si>
    <t xml:space="preserve">Ventre gainé, sans cambrer.</t>
  </si>
  <si>
    <t xml:space="preserve">Cambrer le dos.
Pousser vers l'avant au lieu du haut.</t>
  </si>
  <si>
    <t xml:space="preserve">free-exercise-db (domaine public), fiche Shoulder Press - With Bands : https://github.com/yuhonas/free-exercise-db/blob/main/exercises/Shoulder_Press_-_With_Bands.json</t>
  </si>
  <si>
    <t xml:space="preserve">Développé militaire élastique : exercice debout pour les épaules (français)
https://www.youtube.com/watch?v=Y28EDAb2ASY</t>
  </si>
  <si>
    <t xml:space="preserve">superman</t>
  </si>
  <si>
    <t xml:space="preserve">Superman</t>
  </si>
  <si>
    <t xml:space="preserve">dos, fessiers</t>
  </si>
  <si>
    <t xml:space="preserve">1. Bras seuls, puis jambes seules (8 rép.)
2. Bras et jambes ensemble (10 rép.)
3. Maintien de 3 s en haut (10 rép.)</t>
  </si>
  <si>
    <t xml:space="preserve">Bas du dos (lombaires), Grand fessier</t>
  </si>
  <si>
    <t xml:space="preserve">Haut du dos (rhomboïdes), Ischio-jambiers</t>
  </si>
  <si>
    <t xml:space="preserve">3.5 (code 02030, Callisthénie légère à modérée (exercices du dos, se relever du sol))</t>
  </si>
  <si>
    <t xml:space="preserve">Allongé sur le ventre, bras tendus devant toi, front au sol.
Décolle en même temps bras et jambes de quelques centimètres.
Redescends lentement.</t>
  </si>
  <si>
    <t xml:space="preserve">Petite hauteur suffit : le regard reste vers le sol.</t>
  </si>
  <si>
    <t xml:space="preserve">Lever la tête vers l'avant.
Monter trop haut en forçant sur le bas du dos.</t>
  </si>
  <si>
    <t xml:space="preserve">free-exercise-db (domaine public), fiche Superman : https://github.com/yuhonas/free-exercise-db/blob/main/exercises/Superman.json</t>
  </si>
  <si>
    <t xml:space="preserve">Comment se muscler les lombaires et le bas du dos : superman (français)
https://www.youtube.com/watch?v=O-DOcsnwAQY</t>
  </si>
  <si>
    <t xml:space="preserve">ytw</t>
  </si>
  <si>
    <t xml:space="preserve">Y, T, W au sol</t>
  </si>
  <si>
    <t xml:space="preserve">dos, epaules</t>
  </si>
  <si>
    <t xml:space="preserve">9 répétitions</t>
  </si>
  <si>
    <t xml:space="preserve">1. 2 de chaque lettre (6 rép.)
2. 3 de chaque lettre (9 rép.)
3. 3 de chaque, pause de 2 s (9 rép.)</t>
  </si>
  <si>
    <t xml:space="preserve">Haut du dos (rhomboïdes), Trapèzes, Épaules (arrière)</t>
  </si>
  <si>
    <t xml:space="preserve">Coiffe des rotateurs, Bas du dos (lombaires)</t>
  </si>
  <si>
    <t xml:space="preserve">Allongé sur le ventre, front sur une serviette roulée.
Décolle les bras en Y, puis en T, puis en W (coudes pliés, ramenés vers les côtes).
Pouces vers le plafond, serre les omoplates à chaque lettre.</t>
  </si>
  <si>
    <t xml:space="preserve">Mouvement lent, épaules loin des oreilles.</t>
  </si>
  <si>
    <t xml:space="preserve">Expire en décollant les bras, inspire en les reposant.</t>
  </si>
  <si>
    <t xml:space="preserve">Décoller la poitrine en cambrant.
Aller trop vite.</t>
  </si>
  <si>
    <t xml:space="preserve">free-exercise-db (domaine public), fiche Reverse Flyes With External Rotation : https://github.com/yuhonas/free-exercise-db/blob/main/exercises/Reverse_Flyes_With_External_Rotation.json</t>
  </si>
  <si>
    <t xml:space="preserve">Posture : l'exercice des lettres I, Y, T, W, A (français)
https://www.youtube.com/watch?v=G0nPXt_TgRg</t>
  </si>
  <si>
    <t xml:space="preserve">rowing_inverse_table</t>
  </si>
  <si>
    <t xml:space="preserve">Rowing inversé sous une table</t>
  </si>
  <si>
    <t xml:space="preserve">1. Genoux pliés (6 rép.)
2. Genoux pliés (8 rép.)
3. Jambes tendues (8 rép.)</t>
  </si>
  <si>
    <t xml:space="preserve">Biceps, Épaules (arrière), Abdominaux profonds</t>
  </si>
  <si>
    <t xml:space="preserve">Allongé sous une table très solide, mains sur le bord, bras tendus.
Corps gainé, tire la poitrine vers le bord de la table.
Redescends lentement.</t>
  </si>
  <si>
    <t xml:space="preserve">Seulement avec une table lourde et stable qui ne peut pas basculer. Teste-la avant.</t>
  </si>
  <si>
    <t xml:space="preserve">Expire en tirant, inspire en redescendant.</t>
  </si>
  <si>
    <t xml:space="preserve">Bassin qui s'affaisse.
Tirer avec le cou.</t>
  </si>
  <si>
    <t xml:space="preserve">free-exercise-db (domaine public), fiche Inverted Row : https://github.com/yuhonas/free-exercise-db/blob/main/exercises/Inverted_Row.json</t>
  </si>
  <si>
    <t xml:space="preserve">Rowing inversé sous une table : exercice pour renforcer le dos (français)
https://www.youtube.com/watch?v=lcsEJQAbdiw</t>
  </si>
  <si>
    <t xml:space="preserve">crunch</t>
  </si>
  <si>
    <t xml:space="preserve">Crunch</t>
  </si>
  <si>
    <t xml:space="preserve">abdos</t>
  </si>
  <si>
    <t xml:space="preserve">1. Mains sur les cuisses (12 rép.)
2. Mains croisées sur la poitrine (15 rép.)
3. Pause de 2 s en haut (15 rép.)</t>
  </si>
  <si>
    <t xml:space="preserve">Abdominaux (grand droit)</t>
  </si>
  <si>
    <t xml:space="preserve">Obliques</t>
  </si>
  <si>
    <t xml:space="preserve">Allongé sur le dos, genoux pliés, pieds à plat.
Enroule le haut du dos pour décoller les omoplates.
Redescends lentement sans reposer complètement la tête.</t>
  </si>
  <si>
    <t xml:space="preserve">Ne tire pas sur la nuque avec les mains.</t>
  </si>
  <si>
    <t xml:space="preserve">Tirer sur la tête.
Monter trop haut avec élan.</t>
  </si>
  <si>
    <t xml:space="preserve">free-exercise-db (domaine public), fiche Crunches : https://github.com/yuhonas/free-exercise-db/blob/main/exercises/Crunches.json</t>
  </si>
  <si>
    <t xml:space="preserve">Comment bien faire les crunchs pour les abdos (français)
https://www.youtube.com/watch?v=LEb7Juw9tMo</t>
  </si>
  <si>
    <t xml:space="preserve">crunch_inverse</t>
  </si>
  <si>
    <t xml:space="preserve">Crunch inversé</t>
  </si>
  <si>
    <t xml:space="preserve">1. Petite amplitude (10 rép.)
2. Bassin décollé (12 rép.)
3. Descente lente en 3 s (12 rép.)</t>
  </si>
  <si>
    <t xml:space="preserve">Obliques, Fléchisseurs de hanche</t>
  </si>
  <si>
    <t xml:space="preserve">Allongé sur le dos, genoux pliés au-dessus des hanches, bras le long du corps.
Ramène les genoux vers la poitrine en décollant légèrement le bassin.
Redescends lentement.</t>
  </si>
  <si>
    <t xml:space="preserve">On enroule le bassin, on ne balance pas les jambes.</t>
  </si>
  <si>
    <t xml:space="preserve">Expire en enroulant, inspire en revenant.</t>
  </si>
  <si>
    <t xml:space="preserve">Prendre de l'élan.
Appuyer fort sur les mains.</t>
  </si>
  <si>
    <t xml:space="preserve">free-exercise-db (domaine public), fiche Reverse Crunch : https://github.com/yuhonas/free-exercise-db/blob/main/exercises/Reverse_Crunch.json</t>
  </si>
  <si>
    <t xml:space="preserve">Musculation des abdominaux : crunch inversé (français)
https://www.youtube.com/watch?v=0bq05pA3bkA</t>
  </si>
  <si>
    <t xml:space="preserve">crunch_velo</t>
  </si>
  <si>
    <t xml:space="preserve">Crunch vélo</t>
  </si>
  <si>
    <t xml:space="preserve">16 répétitions</t>
  </si>
  <si>
    <t xml:space="preserve">1. Pieds proches du sol en alternance lente (12 rép.)
2. 16 alternances (16 rép.)
3. 20 alternances (20 rép.)</t>
  </si>
  <si>
    <t xml:space="preserve">Obliques, Abdominaux (grand droit)</t>
  </si>
  <si>
    <t xml:space="preserve">Fléchisseurs de hanche</t>
  </si>
  <si>
    <t xml:space="preserve">Allongé sur le dos, mains aux tempes, omoplates décollées.
Amène un coude vers le genou opposé pendant que l'autre jambe s'allonge.
Alterne lentement, comme un pédalage.</t>
  </si>
  <si>
    <t xml:space="preserve">Le bas du dos reste au sol.</t>
  </si>
  <si>
    <t xml:space="preserve">Expire à chaque rotation.</t>
  </si>
  <si>
    <t xml:space="preserve">Tirer sur la nuque.
Aller vite et perdre le contrôle.</t>
  </si>
  <si>
    <t xml:space="preserve">free-exercise-db (domaine public), fiche Cross-Body Crunch : https://github.com/yuhonas/free-exercise-db/blob/main/exercises/Cross-Body_Crunch.json
free-exercise-db (domaine public), fiche Elbow to Knee : https://github.com/yuhonas/free-exercise-db/blob/main/exercises/Elbow_to_Knee.json</t>
  </si>
  <si>
    <t xml:space="preserve">Crunch cycliste : un exercice pour la taille (français)
https://www.youtube.com/watch?v=rsX2MJPzXrE</t>
  </si>
  <si>
    <t xml:space="preserve">releve_jambes</t>
  </si>
  <si>
    <t xml:space="preserve">Relevé de jambes</t>
  </si>
  <si>
    <t xml:space="preserve">1. Genoux pliés (10 rép.)
2. Jambes tendues, petite amplitude (8 rép.)
3. Jambes tendues (10 rép.)</t>
  </si>
  <si>
    <t xml:space="preserve">Abdominaux (grand droit), Fléchisseurs de hanche</t>
  </si>
  <si>
    <t xml:space="preserve">Allongé sur le dos, mains sous les fesses.
Monte les jambes jusqu'à la verticale.
Redescends lentement sans que le bas du dos décolle.</t>
  </si>
  <si>
    <t xml:space="preserve">Arrête la descente avant que le dos ne se creuse.</t>
  </si>
  <si>
    <t xml:space="preserve">Dos qui se creuse en bas.
Jambes qui tombent.</t>
  </si>
  <si>
    <t xml:space="preserve">free-exercise-db (domaine public), fiche Flat Bench Lying Leg Raise : https://github.com/yuhonas/free-exercise-db/blob/main/exercises/Flat_Bench_Lying_Leg_Raise.json</t>
  </si>
  <si>
    <t xml:space="preserve">Exercice abdos : relevé de jambes allongé (français)
https://www.youtube.com/watch?v=RNgWIsjj5U8</t>
  </si>
  <si>
    <t xml:space="preserve">ciseaux</t>
  </si>
  <si>
    <t xml:space="preserve">Battements de jambes (ciseaux)</t>
  </si>
  <si>
    <t xml:space="preserve">1. Jambes hautes (20 s)
2. Jambes hautes (30 s)
3. Jambes plus basses (30 s)</t>
  </si>
  <si>
    <t xml:space="preserve">Abdominaux (grand droit), Abdominaux profonds</t>
  </si>
  <si>
    <t xml:space="preserve">Allongé sur le dos, mains sous les fesses, jambes tendues levées.
Fais de petits battements de haut en bas, en alternant.
Le bas du dos reste collé au sol.</t>
  </si>
  <si>
    <t xml:space="preserve">Plus les jambes sont hautes, plus c'est facile.</t>
  </si>
  <si>
    <t xml:space="preserve">Respire régulièrement, sans bloquer.</t>
  </si>
  <si>
    <t xml:space="preserve">Dos qui se creuse.
Grands battements trop rapides.</t>
  </si>
  <si>
    <t xml:space="preserve">free-exercise-db (domaine public), fiche Flutter Kicks : https://github.com/yuhonas/free-exercise-db/blob/main/exercises/Flutter_Kicks.json
free-exercise-db (domaine public), fiche Scissor Kick : https://github.com/yuhonas/free-exercise-db/blob/main/exercises/Scissor_Kick.json</t>
  </si>
  <si>
    <t xml:space="preserve">L'exercice des ciseaux pour renforcer ses abdominaux (français)
https://www.youtube.com/watch?v=a8Y_-YCnaUg</t>
  </si>
  <si>
    <t xml:space="preserve">toucher_talons</t>
  </si>
  <si>
    <t xml:space="preserve">Touchers de talons</t>
  </si>
  <si>
    <t xml:space="preserve">tonifier</t>
  </si>
  <si>
    <t xml:space="preserve">20 répétitions</t>
  </si>
  <si>
    <t xml:space="preserve">1. 16 touchers (16 rép.)
2. 20 touchers (20 rép.)
3. 24 touchers (24 rép.)</t>
  </si>
  <si>
    <t xml:space="preserve">Allongé sur le dos, genoux pliés, pieds écartés, omoplates décollées.
Penche-toi sur le côté pour toucher le talon avec la main.
Alterne à droite et à gauche, sans reposer les épaules.</t>
  </si>
  <si>
    <t xml:space="preserve">Mouvement latéral, la nuque reste longue.</t>
  </si>
  <si>
    <t xml:space="preserve">Expire à chaque toucher.</t>
  </si>
  <si>
    <t xml:space="preserve">Reposer la tête entre chaque toucher.
Tirer avec le cou.</t>
  </si>
  <si>
    <t xml:space="preserve">free-exercise-db (domaine public), fiche Alternate Heel Touchers : https://github.com/yuhonas/free-exercise-db/blob/main/exercises/Alternate_Heel_Touchers.json</t>
  </si>
  <si>
    <t xml:space="preserve">Exercice fitness : touché de cheville (français)
https://www.youtube.com/watch?v=yocM348hYfE</t>
  </si>
  <si>
    <t xml:space="preserve">rotation_russe</t>
  </si>
  <si>
    <t xml:space="preserve">Rotation russe</t>
  </si>
  <si>
    <t xml:space="preserve">1. Pieds au sol (12 rép.)
2. Pieds au sol (16 rép.)
3. Pieds décollés (16 rép.)
4. Haltère en main (16 rép.)</t>
  </si>
  <si>
    <t xml:space="preserve">Assis, genoux pliés, buste incliné en arrière, dos droit.
Mains jointes, tourne le buste pour amener les mains d'un côté puis de l'autre.
Le regard suit les mains.</t>
  </si>
  <si>
    <t xml:space="preserve">C'est le buste qui tourne, pas seulement les bras.</t>
  </si>
  <si>
    <t xml:space="preserve">Dos arrondi.
Bouger seulement les bras.</t>
  </si>
  <si>
    <t xml:space="preserve">free-exercise-db (domaine public), fiche Russian Twist : https://github.com/yuhonas/free-exercise-db/blob/main/exercises/Russian_Twist.json</t>
  </si>
  <si>
    <t xml:space="preserve">Russian twist : exercice de gainage des obliques (français)
https://www.youtube.com/watch?v=RdUUAlWz1Qk</t>
  </si>
  <si>
    <t xml:space="preserve">hollow</t>
  </si>
  <si>
    <t xml:space="preserve">Hollow hold (position creuse)</t>
  </si>
  <si>
    <t xml:space="preserve">20 s</t>
  </si>
  <si>
    <t xml:space="preserve">1. Genoux pliés, bras le long du corps (15 s)
2. Jambes tendues hautes (20 s)
3. Bras tendus derrière la tête (20 s)
4. Bras derrière la tête (30 s)</t>
  </si>
  <si>
    <t xml:space="preserve">Fléchisseurs de hanche, Obliques</t>
  </si>
  <si>
    <t xml:space="preserve">Allongé sur le dos, plaque le bas du dos au sol.
Décolle les épaules et les jambes : ton corps forme une banane.
Tiens la position sans que le dos ne décolle.</t>
  </si>
  <si>
    <t xml:space="preserve">Dès que le bas du dos décolle, remonte les jambes ou plie les genoux.</t>
  </si>
  <si>
    <t xml:space="preserve">Respirations courtes et régulières.</t>
  </si>
  <si>
    <t xml:space="preserve">Bas du dos décollé.
Menton collé à la poitrine.</t>
  </si>
  <si>
    <t xml:space="preserve">free-exercise-db (domaine public), fiche Plank : https://github.com/yuhonas/free-exercise-db/blob/main/exercises/Plank.json</t>
  </si>
  <si>
    <t xml:space="preserve">Hollow body hold : muscles, variantes, conseils et progression (français)
https://www.youtube.com/watch?v=G5i11cyxSL4</t>
  </si>
  <si>
    <t xml:space="preserve">planche_epaules</t>
  </si>
  <si>
    <t xml:space="preserve">Planche, touchers d'épaule</t>
  </si>
  <si>
    <t xml:space="preserve">abdos, epaules</t>
  </si>
  <si>
    <t xml:space="preserve">1. Sur les genoux (12 rép.)
2. Sur les pieds, pieds écartés (16 rép.)
3. Pieds serrés (16 rép.)</t>
  </si>
  <si>
    <t xml:space="preserve">Abdominaux profonds, Obliques</t>
  </si>
  <si>
    <t xml:space="preserve">Épaules (avant), Pectoraux, Triceps</t>
  </si>
  <si>
    <t xml:space="preserve">En planche bras tendus, mains sous les épaules.
Touche une épaule avec la main opposée, repose, puis alterne.
Le bassin ne bouge pas.</t>
  </si>
  <si>
    <t xml:space="preserve">Écarte davantage les pieds si le bassin se balance.</t>
  </si>
  <si>
    <t xml:space="preserve">Respire calmement à chaque toucher.</t>
  </si>
  <si>
    <t xml:space="preserve">Bassin qui se balance de gauche à droite.
Fesses qui montent.</t>
  </si>
  <si>
    <t xml:space="preserve">Planche tape épaule (et progression) (français)
https://www.youtube.com/watch?v=S1FlmYy31jQ</t>
  </si>
  <si>
    <t xml:space="preserve">planche_dynamique</t>
  </si>
  <si>
    <t xml:space="preserve">Planche montante (coudes, puis mains)</t>
  </si>
  <si>
    <t xml:space="preserve">abdos, bras, epaules</t>
  </si>
  <si>
    <t xml:space="preserve">1. Sur les genoux (8 rép.)
2. Sur les pieds (8 rép.)
3. Sur les pieds (12 rép.)</t>
  </si>
  <si>
    <t xml:space="preserve">Abdominaux profonds, Triceps</t>
  </si>
  <si>
    <t xml:space="preserve">Épaules (avant), Pectoraux, Obliques</t>
  </si>
  <si>
    <t xml:space="preserve">En planche sur les avant-bras.
Pose une main puis l'autre pour monter en planche bras tendus.
Redescends un coude après l'autre. Alterne le bras qui commence.</t>
  </si>
  <si>
    <t xml:space="preserve">Pieds écartés pour garder le bassin stable.</t>
  </si>
  <si>
    <t xml:space="preserve">Bassin qui oscille.
Fesses qui montent.</t>
  </si>
  <si>
    <t xml:space="preserve">Exercice fitness : gainage up and down (français)
https://www.youtube.com/watch?v=9rQvKBRBHhg</t>
  </si>
  <si>
    <t xml:space="preserve">planche_inverse</t>
  </si>
  <si>
    <t xml:space="preserve">Planche inversée</t>
  </si>
  <si>
    <t xml:space="preserve">dos, fessiers, bras</t>
  </si>
  <si>
    <t xml:space="preserve">1. Genoux pliés (table) (20 s)
2. Jambes tendues (15 s)
3. Jambes tendues (25 s)</t>
  </si>
  <si>
    <t xml:space="preserve">Grand fessier, Bas du dos (lombaires), Triceps</t>
  </si>
  <si>
    <t xml:space="preserve">Ischio-jambiers, Épaules (arrière)</t>
  </si>
  <si>
    <t xml:space="preserve">Assis, mains au sol derrière les hanches, doigts vers les pieds.
Pousse dans les mains et les talons pour monter le bassin.
Corps aligné, tiens la position.</t>
  </si>
  <si>
    <t xml:space="preserve">Épaules basses, poitrine ouverte.</t>
  </si>
  <si>
    <t xml:space="preserve">Respire calmement.</t>
  </si>
  <si>
    <t xml:space="preserve">Bassin qui descend.
Tête qui tombe en arrière.</t>
  </si>
  <si>
    <t xml:space="preserve">free-exercise-db (domaine public), fiche Butt-Ups : https://github.com/yuhonas/free-exercise-db/blob/main/exercises/Butt-Ups.json</t>
  </si>
  <si>
    <t xml:space="preserve">Planche inversée : 3 fautes à éviter (français)
https://www.youtube.com/watch?v=d3B2ed1qI0o</t>
  </si>
  <si>
    <t xml:space="preserve">ours_statique</t>
  </si>
  <si>
    <t xml:space="preserve">Position de l'ours (bear hold)</t>
  </si>
  <si>
    <t xml:space="preserve">1. Genoux décollés de 2 cm (15 s)
2. Genoux décollés (25 s)
3. En levant une main en alternance (30 s)</t>
  </si>
  <si>
    <t xml:space="preserve">Abdominaux profonds, Abdominaux (grand droit)</t>
  </si>
  <si>
    <t xml:space="preserve">Épaules (avant), Quadriceps</t>
  </si>
  <si>
    <t xml:space="preserve">À quatre pattes, mains sous les épaules, genoux sous les hanches.
Décolle les genoux de quelques centimètres, dos plat.
Tiens la position.</t>
  </si>
  <si>
    <t xml:space="preserve">Les genoux restent tout près du sol.</t>
  </si>
  <si>
    <t xml:space="preserve">Respire lentement par le nez.</t>
  </si>
  <si>
    <t xml:space="preserve">Fesses qui montent.
Dos qui s'arrondit.</t>
  </si>
  <si>
    <t xml:space="preserve">How to Do a Bear Hold (anglais)
https://www.youtube.com/watch?v=GkTNfd8zFPs</t>
  </si>
  <si>
    <t xml:space="preserve">planche_laterale_rotation</t>
  </si>
  <si>
    <t xml:space="preserve">Planche latérale avec rotation</t>
  </si>
  <si>
    <t xml:space="preserve">1. Sur le genou (8 rép.)
2. Sur les pieds (8 rép.)
3. Sur les pieds (10 rép.)</t>
  </si>
  <si>
    <t xml:space="preserve">Abdominaux profonds, Épaules (côté), Moyen fessier</t>
  </si>
  <si>
    <t xml:space="preserve">En planche latérale sur l'avant-bras, bras du dessus tendu vers le plafond.
Passe la main sous ton buste en tournant, puis reviens ouvrir.
Le bassin reste haut. Change de côté.</t>
  </si>
  <si>
    <t xml:space="preserve">Reviens à la planche latérale classique si le bassin descend.</t>
  </si>
  <si>
    <t xml:space="preserve">Expire en tournant, inspire en ouvrant.</t>
  </si>
  <si>
    <t xml:space="preserve">Bassin qui chute.
Épaule d'appui qui remonte vers l'oreille.</t>
  </si>
  <si>
    <t xml:space="preserve">free-exercise-db (domaine public), fiche Side Bridge : https://github.com/yuhonas/free-exercise-db/blob/main/exercises/Side_Bridge.json</t>
  </si>
  <si>
    <t xml:space="preserve">Planche latérale avec rotation (Guide Musculation) (français)
https://www.youtube.com/watch?v=OXte6nIofiM</t>
  </si>
  <si>
    <t xml:space="preserve">v_up</t>
  </si>
  <si>
    <t xml:space="preserve">V-up (relevé en V)</t>
  </si>
  <si>
    <t xml:space="preserve">1. Genoux pliés (tuck-up) (8 rép.)
2. Une jambe tendue en alternance (8 rép.)
3. Jambes tendues (8 rép.)</t>
  </si>
  <si>
    <t xml:space="preserve">7.5 (code 02020, Callisthénie intense (pompes, burpees, jumping jacks))</t>
  </si>
  <si>
    <t xml:space="preserve">Allongé sur le dos, bras tendus derrière la tête.
Lève en même temps buste et jambes pour toucher les pieds avec les mains.
Redescends lentement, sans t'écraser au sol.</t>
  </si>
  <si>
    <t xml:space="preserve">Exercice avancé : maîtrise d'abord le hollow hold.</t>
  </si>
  <si>
    <t xml:space="preserve">Retomber lourdement.
Prendre de l'élan avec les bras.</t>
  </si>
  <si>
    <t xml:space="preserve">free-exercise-db (domaine public), fiche Jackknife Sit-Up : https://github.com/yuhonas/free-exercise-db/blob/main/exercises/Jackknife_Sit-Up.json</t>
  </si>
  <si>
    <t xml:space="preserve">Comment faire les V-ups (français)
https://www.youtube.com/watch?v=D51oisjL-aE</t>
  </si>
  <si>
    <t xml:space="preserve">chenille</t>
  </si>
  <si>
    <t xml:space="preserve">Chenille (inchworm)</t>
  </si>
  <si>
    <t xml:space="preserve">corps_entier</t>
  </si>
  <si>
    <t xml:space="preserve">1. Genoux fléchis (5 rép.)
2. Jambes presque tendues (6 rép.)
3. Avec une pompe en bas (6 rép.)</t>
  </si>
  <si>
    <t xml:space="preserve">Abdominaux profonds, Épaules (avant), Ischio-jambiers</t>
  </si>
  <si>
    <t xml:space="preserve">Debout, penche-toi pour poser les mains au sol, genoux fléchis si besoin.
Avance les mains une à une jusqu'à la planche.
Ramène les mains vers les pieds en marchant, puis redresse-toi.</t>
  </si>
  <si>
    <t xml:space="preserve">Plie les genoux autant que nécessaire pour poser les mains.</t>
  </si>
  <si>
    <t xml:space="preserve">Expire en avançant vers la planche, inspire en revenant.</t>
  </si>
  <si>
    <t xml:space="preserve">Bassin qui s'affaisse en planche.
Se redresser trop vite.</t>
  </si>
  <si>
    <t xml:space="preserve">free-exercise-db (domaine public), fiche Inchworm : https://github.com/yuhonas/free-exercise-db/blob/main/exercises/Inchworm.json</t>
  </si>
  <si>
    <t xml:space="preserve">La chenille avec pompe (inchworm with push-up) (français)
https://www.youtube.com/watch?v=zeAm-lP_Ha0</t>
  </si>
  <si>
    <t xml:space="preserve">marche_ours</t>
  </si>
  <si>
    <t xml:space="preserve">Marche de l'ours</t>
  </si>
  <si>
    <t xml:space="preserve">renforcer, cardio</t>
  </si>
  <si>
    <t xml:space="preserve">1. Avant, arrière, lentement (20 s)
2. 30 s (30 s)
3. Plus rapide (30 s)</t>
  </si>
  <si>
    <t xml:space="preserve">Épaules (avant), Abdominaux profonds, Quadriceps</t>
  </si>
  <si>
    <t xml:space="preserve">Triceps, Grand fessier</t>
  </si>
  <si>
    <t xml:space="preserve">À quatre pattes, genoux décollés de quelques centimètres.
Avance main droite et pied gauche ensemble, puis l'inverse.
Fais quelques pas en avant, puis en arrière.</t>
  </si>
  <si>
    <t xml:space="preserve">Petits pas, dos plat, genoux proches du sol.</t>
  </si>
  <si>
    <t xml:space="preserve">Respire régulièrement.</t>
  </si>
  <si>
    <t xml:space="preserve">Fesses en l'air.
Grands pas qui déstabilisent.</t>
  </si>
  <si>
    <t xml:space="preserve">free-exercise-db (domaine public), fiche Bear Crawl Sled Drags : https://github.com/yuhonas/free-exercise-db/blob/main/exercises/Bear_Crawl_Sled_Drags.json</t>
  </si>
  <si>
    <t xml:space="preserve">Marche de l'ours : gainage dynamique et mobilité sans matériel (français)
https://www.youtube.com/watch?v=D_4Vcp2d9_I</t>
  </si>
  <si>
    <t xml:space="preserve">marche_genoux_hauts</t>
  </si>
  <si>
    <t xml:space="preserve">Marche sur place, genoux hauts</t>
  </si>
  <si>
    <t xml:space="preserve">cardio</t>
  </si>
  <si>
    <t xml:space="preserve">corps_entier, jambes</t>
  </si>
  <si>
    <t xml:space="preserve">40 s</t>
  </si>
  <si>
    <t xml:space="preserve">1. Rythme tranquille (30 s)
2. Rythme soutenu (40 s)
3. Avec bras actifs (45 s)</t>
  </si>
  <si>
    <t xml:space="preserve">Fléchisseurs de hanche, Quadriceps</t>
  </si>
  <si>
    <t xml:space="preserve">Mollets, Abdominaux profonds</t>
  </si>
  <si>
    <t xml:space="preserve">Debout, marche sur place en montant les genoux vers la hauteur des hanches.
Balance les bras en opposition.
Garde le buste droit et le ventre tenu.</t>
  </si>
  <si>
    <t xml:space="preserve">Version sans saut des montées de genoux.</t>
  </si>
  <si>
    <t xml:space="preserve">Respire librement, au rythme des pas.</t>
  </si>
  <si>
    <t xml:space="preserve">Se pencher en arrière.
Genoux qui montent à peine.</t>
  </si>
  <si>
    <t xml:space="preserve">OMS, recommandations 2020 sur l'activité physique (Bull et al., BJSM) : https://doi.org/10.1136/bjsports-2020-102955
free-exercise-db (domaine public), fiche Step-up with Knee Raise : https://github.com/yuhonas/free-exercise-db/blob/main/exercises/Step-up_with_Knee_Raise.json</t>
  </si>
  <si>
    <t xml:space="preserve">March in Place (HASfit, exercices sans impact) (anglais)
https://www.youtube.com/watch?v=QilgMPG7OaA</t>
  </si>
  <si>
    <t xml:space="preserve">step_jacks</t>
  </si>
  <si>
    <t xml:space="preserve">Jumping jacks sans saut</t>
  </si>
  <si>
    <t xml:space="preserve">1. Rythme tranquille (30 s)
2. Rythme soutenu (40 s)
3. Rythme soutenu (45 s)</t>
  </si>
  <si>
    <t xml:space="preserve">Épaules (côté), Moyen fessier</t>
  </si>
  <si>
    <t xml:space="preserve">Mollets, Adducteurs</t>
  </si>
  <si>
    <t xml:space="preserve">Debout, pieds joints, bras le long du corps.
Pose un pied sur le côté en levant les bras au-dessus de la tête.
Reviens au centre, puis l'autre pied. Enchaîne sans t'arrêter.</t>
  </si>
  <si>
    <t xml:space="preserve">Aucun saut : idéal pour les voisins du dessous et les articulations.</t>
  </si>
  <si>
    <t xml:space="preserve">Respire au rythme des pas.</t>
  </si>
  <si>
    <t xml:space="preserve">Bras qui ne montent qu'à mi-hauteur.
Rythme trop lent pour élever le cœur.</t>
  </si>
  <si>
    <t xml:space="preserve">free-exercise-db (domaine public), fiche Star Jump : https://github.com/yuhonas/free-exercise-db/blob/main/exercises/Star_Jump.json</t>
  </si>
  <si>
    <t xml:space="preserve">Jumping jack sans saut (français)
https://www.youtube.com/watch?v=doj3IIyhwvs</t>
  </si>
  <si>
    <t xml:space="preserve">boxe_ombre</t>
  </si>
  <si>
    <t xml:space="preserve">Boxe dans le vide</t>
  </si>
  <si>
    <t xml:space="preserve">corps_entier, bras, epaules</t>
  </si>
  <si>
    <t xml:space="preserve">cardio, tonifier</t>
  </si>
  <si>
    <t xml:space="preserve">1. Directs alternés (30 s)
2. Directs et crochets (40 s)
3. En sautillant sur place (45 s)</t>
  </si>
  <si>
    <t xml:space="preserve">Obliques, Pectoraux, Mollets</t>
  </si>
  <si>
    <t xml:space="preserve">6 (code 02032, Circuit au poids du corps)</t>
  </si>
  <si>
    <t xml:space="preserve">En garde, pieds décalés, genoux souples, poings devant le menton.
Envoie des directs alternés en tournant légèrement le buste.
Ramène toujours le poing en garde.</t>
  </si>
  <si>
    <t xml:space="preserve">Ne verrouille pas le coude au bout du coup.</t>
  </si>
  <si>
    <t xml:space="preserve">Expire à chaque coup.</t>
  </si>
  <si>
    <t xml:space="preserve">Bras tendus à fond en claquant le coude.
Garde qui descend.</t>
  </si>
  <si>
    <t xml:space="preserve">OMS, recommandations 2020 sur l'activité physique (Bull et al., BJSM) : https://doi.org/10.1136/bjsports-2020-102955</t>
  </si>
  <si>
    <t xml:space="preserve">Apprendre le shadow boxing en 3 minutes (français)
https://www.youtube.com/watch?v=bQeSUBjOlN8</t>
  </si>
  <si>
    <t xml:space="preserve">burpee_sans_saut</t>
  </si>
  <si>
    <t xml:space="preserve">Burpee sans saut</t>
  </si>
  <si>
    <t xml:space="preserve">hiit</t>
  </si>
  <si>
    <t xml:space="preserve">cardio, renforcer</t>
  </si>
  <si>
    <t xml:space="preserve">1. Pieds reculés un par un (6 rép.)
2. 8 répétitions (8 rép.)
3. Avec une pompe (8 rép.)</t>
  </si>
  <si>
    <t xml:space="preserve">Quadriceps, Pectoraux, Abdominaux profonds</t>
  </si>
  <si>
    <t xml:space="preserve">Grand fessier, Triceps, Épaules (avant)</t>
  </si>
  <si>
    <t xml:space="preserve">Debout, accroupis-toi et pose les mains au sol.
Recule un pied puis l'autre pour arriver en planche.
Ramène les pieds un par un, puis relève-toi en tendant les bras.</t>
  </si>
  <si>
    <t xml:space="preserve">Version sans saut du burpee.</t>
  </si>
  <si>
    <t xml:space="preserve">Expire en te relevant.</t>
  </si>
  <si>
    <t xml:space="preserve">Bassin qui s'affaisse en planche.
Dos arrondi en se relevant.</t>
  </si>
  <si>
    <t xml:space="preserve">free-exercise-db (domaine public), fiche Push Up to Side Plank : https://github.com/yuhonas/free-exercise-db/blob/main/exercises/Push_Up_to_Side_Plank.json</t>
  </si>
  <si>
    <t xml:space="preserve">Burpees sans saut (français)
https://www.youtube.com/watch?v=gadl7yD6Img</t>
  </si>
  <si>
    <t xml:space="preserve">mountain_climbers_lents</t>
  </si>
  <si>
    <t xml:space="preserve">Mountain climbers lents</t>
  </si>
  <si>
    <t xml:space="preserve">abdos, corps_entier</t>
  </si>
  <si>
    <t xml:space="preserve">1. Mains sur une chaise (30 s)
2. Mains au sol (30 s)
3. Mains au sol (40 s)</t>
  </si>
  <si>
    <t xml:space="preserve">Abdominaux profonds, Fléchisseurs de hanche</t>
  </si>
  <si>
    <t xml:space="preserve">En planche bras tendus.
Ramène un genou vers la poitrine, repose le pied, puis l'autre.
Rythme contrôlé, bassin stable.</t>
  </si>
  <si>
    <t xml:space="preserve">Version sans élan des mountain climbers.</t>
  </si>
  <si>
    <t xml:space="preserve">Expire à chaque genou ramené.</t>
  </si>
  <si>
    <t xml:space="preserve">Fesses qui montent.
Épaules qui reculent derrière les mains.</t>
  </si>
  <si>
    <t xml:space="preserve">free-exercise-db (domaine public), fiche Mountain Climbers : https://github.com/yuhonas/free-exercise-db/blob/main/exercises/Mountain_Climbers.json</t>
  </si>
  <si>
    <t xml:space="preserve">Mountain climbers lents et contrôlés (français)
https://www.youtube.com/watch?v=rtEJyD8fweo</t>
  </si>
  <si>
    <t xml:space="preserve">patineur_sans_saut</t>
  </si>
  <si>
    <t xml:space="preserve">Patineur sans saut</t>
  </si>
  <si>
    <t xml:space="preserve">1. Petits pas (30 s)
2. Grands pas (40 s)
3. Grands pas, plus bas (45 s)</t>
  </si>
  <si>
    <t xml:space="preserve">Moyen fessier, Quadriceps</t>
  </si>
  <si>
    <t xml:space="preserve">Fais un grand pas en diagonale arrière, la jambe croise derrière l'autre.
Plie la jambe d'appui en balançant les bras comme un patineur.
Reviens et alterne les côtés.</t>
  </si>
  <si>
    <t xml:space="preserve">Version sans saut du patineur.</t>
  </si>
  <si>
    <t xml:space="preserve">Genou d'appui qui rentre vers l'intérieur.
Buste trop penché.</t>
  </si>
  <si>
    <t xml:space="preserve">free-exercise-db (domaine public), fiche Crossover Reverse Lunge : https://github.com/yuhonas/free-exercise-db/blob/main/exercises/Crossover_Reverse_Lunge.json</t>
  </si>
  <si>
    <t xml:space="preserve">How To Do A Curtsy Lunge (anglais)
https://www.youtube.com/watch?v=2EyH9MN7hYE</t>
  </si>
  <si>
    <t xml:space="preserve">squat_coup_de_pied</t>
  </si>
  <si>
    <t xml:space="preserve">Squat, coup de pied avant</t>
  </si>
  <si>
    <t xml:space="preserve">jambes, abdos</t>
  </si>
  <si>
    <t xml:space="preserve">1. Squat léger (30 s)
2. 40 s (40 s)
3. Squat profond (45 s)</t>
  </si>
  <si>
    <t xml:space="preserve">Fléchisseurs de hanche, Abdominaux profonds</t>
  </si>
  <si>
    <t xml:space="preserve">Fais un squat.
En te relevant, donne un coup de pied devant toi.
Repose et enchaîne avec l'autre jambe.</t>
  </si>
  <si>
    <t xml:space="preserve">Coup de pied contrôlé, sans verrouiller le genou.</t>
  </si>
  <si>
    <t xml:space="preserve">Expire au coup de pied.</t>
  </si>
  <si>
    <t xml:space="preserve">Se pencher en arrière en tapant.
Squat bâclé.</t>
  </si>
  <si>
    <t xml:space="preserve">free-exercise-db (domaine public), fiche Bodyweight Squat : https://github.com/yuhonas/free-exercise-db/blob/main/exercises/Bodyweight_Squat.json</t>
  </si>
  <si>
    <t xml:space="preserve">Squat with Front Kick (One Minute Exercises) (anglais)
https://www.youtube.com/watch?v=FGjCiK4alq4</t>
  </si>
  <si>
    <t xml:space="preserve">fentes_alternees_rapides</t>
  </si>
  <si>
    <t xml:space="preserve">Fentes arrière alternées, rythme rapide</t>
  </si>
  <si>
    <t xml:space="preserve">1. Petite amplitude (30 s)
2. Amplitude complète (30 s)
3. Rythme soutenu (40 s)</t>
  </si>
  <si>
    <t xml:space="preserve">Ischio-jambiers, Mollets</t>
  </si>
  <si>
    <t xml:space="preserve">Debout, recule une jambe en fente, puis reviens.
Enchaîne avec l'autre jambe sans pause, bras en balancier.
Garde un rythme régulier tout au long de l'effort.</t>
  </si>
  <si>
    <t xml:space="preserve">Version sans saut de la fente sautée.</t>
  </si>
  <si>
    <t xml:space="preserve">Respire au rythme des fentes.</t>
  </si>
  <si>
    <t xml:space="preserve">Genou avant qui rentre vers l'intérieur.
Buste qui se penche.</t>
  </si>
  <si>
    <t xml:space="preserve">Fentes arrières alternées (français)
https://www.youtube.com/watch?v=9i4YcNHiKbU</t>
  </si>
  <si>
    <t xml:space="preserve">jumping_jacks</t>
  </si>
  <si>
    <t xml:space="preserve">Jumping jacks</t>
  </si>
  <si>
    <t xml:space="preserve">oui</t>
  </si>
  <si>
    <t xml:space="preserve">1. Rythme tranquille (20 s)
2. 30 s (30 s)
3. Rythme rapide (40 s)</t>
  </si>
  <si>
    <t xml:space="preserve">Mollets, Épaules (côté)</t>
  </si>
  <si>
    <t xml:space="preserve">Moyen fessier, Adducteurs</t>
  </si>
  <si>
    <t xml:space="preserve">Pieds joints, bras le long du corps.
Saute en écartant les pieds et en levant les bras au-dessus de la tête.
Saute pour revenir. Réceptions souples sur l'avant du pied.</t>
  </si>
  <si>
    <t xml:space="preserve">Remplacé automatiquement par la version sans saut si les sauts sont exclus.</t>
  </si>
  <si>
    <t xml:space="preserve">Respire librement et régulièrement.</t>
  </si>
  <si>
    <t xml:space="preserve">Atterrir talons tendus.
Genoux raides.</t>
  </si>
  <si>
    <t xml:space="preserve">Tuto : les jumping jacks, exercice cardio (Decathlon) (français)
https://www.youtube.com/watch?v=kefNHIKaNkU</t>
  </si>
  <si>
    <t xml:space="preserve">montees_genoux</t>
  </si>
  <si>
    <t xml:space="preserve">Montées de genoux</t>
  </si>
  <si>
    <t xml:space="preserve">1. Rythme modéré (20 s)
2. 30 s (30 s)
3. Rythme maximal (30 s)</t>
  </si>
  <si>
    <t xml:space="preserve">Cours sur place en montant les genoux à hauteur de hanches.
Reste sur l'avant des pieds, bras actifs.
Garde le buste droit.</t>
  </si>
  <si>
    <t xml:space="preserve">Commence plus doucement si tu sors d'une longue pause.</t>
  </si>
  <si>
    <t xml:space="preserve">Respire activement, sans bloquer.</t>
  </si>
  <si>
    <t xml:space="preserve">Buste penché en arrière.
Atterrir lourdement sur les talons.</t>
  </si>
  <si>
    <t xml:space="preserve">free-exercise-db (domaine public), fiche Fast Skipping : https://github.com/yuhonas/free-exercise-db/blob/main/exercises/Fast_Skipping.json</t>
  </si>
  <si>
    <t xml:space="preserve">Comment faire des montées de genoux (français)
https://www.youtube.com/watch?v=RsVbI852C-o</t>
  </si>
  <si>
    <t xml:space="preserve">talons_fesses</t>
  </si>
  <si>
    <t xml:space="preserve">Talons-fesses</t>
  </si>
  <si>
    <t xml:space="preserve">jambes, corps_entier</t>
  </si>
  <si>
    <t xml:space="preserve">1. En marchant (30 s)
2. En trottinant (30 s)
3. Rythme rapide (40 s)</t>
  </si>
  <si>
    <t xml:space="preserve">Mollets, Quadriceps</t>
  </si>
  <si>
    <t xml:space="preserve">Trottine sur place en ramenant les talons vers les fesses.
Genoux pointés vers le sol.
Bras qui accompagnent le mouvement.</t>
  </si>
  <si>
    <t xml:space="preserve">Le niveau 1 se fait en marchant : sans saut.</t>
  </si>
  <si>
    <t xml:space="preserve">Respire au rythme de la course.</t>
  </si>
  <si>
    <t xml:space="preserve">Genoux qui avancent.
Buste penché.</t>
  </si>
  <si>
    <t xml:space="preserve">free-exercise-db (domaine public), fiche Single Leg Butt Kick : https://github.com/yuhonas/free-exercise-db/blob/main/exercises/Single_Leg_Butt_Kick.json</t>
  </si>
  <si>
    <t xml:space="preserve">Talons-fesses (butt kicks) : exercice cardio simple (français)
https://www.youtube.com/watch?v=XFknECYblwQ</t>
  </si>
  <si>
    <t xml:space="preserve">squat_saute</t>
  </si>
  <si>
    <t xml:space="preserve">Squat sauté</t>
  </si>
  <si>
    <t xml:space="preserve">1. Petits sauts (8 rép.)
2. 10 répétitions (10 rép.)
3. Sauts hauts (12 rép.)</t>
  </si>
  <si>
    <t xml:space="preserve">Mollets, Ischio-jambiers</t>
  </si>
  <si>
    <t xml:space="preserve">11 (code 02214, Fractionné intense, effort vigoureux (Tabata))</t>
  </si>
  <si>
    <t xml:space="preserve">Descends en squat.
Pousse fort pour sauter en tendant les jambes.
Réceptionne-toi en douceur en repliant directement dans le squat suivant.</t>
  </si>
  <si>
    <t xml:space="preserve">Réception silencieuse : si ça fait du bruit, les genoux encaissent trop.</t>
  </si>
  <si>
    <t xml:space="preserve">Expire en sautant.</t>
  </si>
  <si>
    <t xml:space="preserve">Genoux qui rentrent à la réception.
Atterrir jambes tendues.</t>
  </si>
  <si>
    <t xml:space="preserve">free-exercise-db (domaine public), fiche Freehand Jump Squat : https://github.com/yuhonas/free-exercise-db/blob/main/exercises/Freehand_Jump_Squat.json</t>
  </si>
  <si>
    <t xml:space="preserve">Squat sauté : muscles, variantes, conseils et progression (français)
https://www.youtube.com/watch?v=Swf_f7SHdUI</t>
  </si>
  <si>
    <t xml:space="preserve">fente_sautee</t>
  </si>
  <si>
    <t xml:space="preserve">Fente sautée</t>
  </si>
  <si>
    <t xml:space="preserve">1. Fente arrière alternée rapide, sans saut (10 rép.)
2. Petits sauts (8 rép.)
3. 10 sauts (10 rép.)</t>
  </si>
  <si>
    <t xml:space="preserve">En position de fente.
Saute et inverse les jambes en l'air.
Réceptionne-toi en fente, genou arrière proche du sol.</t>
  </si>
  <si>
    <t xml:space="preserve">Exercice exigeant pour les genoux : à réserver aux niveaux avancés.</t>
  </si>
  <si>
    <t xml:space="preserve">Expire à chaque saut.</t>
  </si>
  <si>
    <t xml:space="preserve">Pas trop étroit : perte d'équilibre.
Genou arrière qui tape le sol.</t>
  </si>
  <si>
    <t xml:space="preserve">free-exercise-db (domaine public), fiche Split Jump : https://github.com/yuhonas/free-exercise-db/blob/main/exercises/Split_Jump.json</t>
  </si>
  <si>
    <t xml:space="preserve">Fentes sautées : muscles, variantes, conseils et progression (français)
https://www.youtube.com/watch?v=4_Sjotzszx4</t>
  </si>
  <si>
    <t xml:space="preserve">patineur</t>
  </si>
  <si>
    <t xml:space="preserve">Patineur sauté</t>
  </si>
  <si>
    <t xml:space="preserve">1. Petits bonds (20 s)
2. 30 s (30 s)
3. Grands bonds (30 s)</t>
  </si>
  <si>
    <t xml:space="preserve">Grand fessier, Mollets</t>
  </si>
  <si>
    <t xml:space="preserve">Bondis sur le côté pour atterrir sur un pied.
L'autre jambe passe derrière sans toucher le sol.
Repars de l'autre côté, bras en balancier.</t>
  </si>
  <si>
    <t xml:space="preserve">Réception genou fléchi, dans l'axe du pied.</t>
  </si>
  <si>
    <t xml:space="preserve">Respire activement.</t>
  </si>
  <si>
    <t xml:space="preserve">Genou qui rentre à la réception.
Réception jambe tendue.</t>
  </si>
  <si>
    <t xml:space="preserve">free-exercise-db (domaine public), fiche Lateral Bound : https://github.com/yuhonas/free-exercise-db/blob/main/exercises/Lateral_Bound.json</t>
  </si>
  <si>
    <t xml:space="preserve">Speed Skaters Exercise (Skater Hops): Proper Form (anglais)
https://www.youtube.com/watch?v=9_jLW6VkU8A</t>
  </si>
  <si>
    <t xml:space="preserve">burpee</t>
  </si>
  <si>
    <t xml:space="preserve">Burpee</t>
  </si>
  <si>
    <t xml:space="preserve">1. Sans pompe (6 rép.)
2. 8 répétitions (8 rép.)
3. Avec une pompe (8 rép.)
4. 10 répétitions (10 rép.)</t>
  </si>
  <si>
    <t xml:space="preserve">Grand fessier, Triceps, Mollets</t>
  </si>
  <si>
    <t xml:space="preserve">Accroupis-toi et pose les mains au sol.
Saute en arrière pour arriver en planche, puis ramène les pieds en sautant.
Relève-toi et saute, bras au-dessus de la tête.</t>
  </si>
  <si>
    <t xml:space="preserve">Garde la planche propre même quand la fatigue arrive.</t>
  </si>
  <si>
    <t xml:space="preserve">Expire au saut.</t>
  </si>
  <si>
    <t xml:space="preserve">Bassin qui s'écrase au sol en planche.
Dos rond en se relevant.</t>
  </si>
  <si>
    <t xml:space="preserve">free-exercise-db (domaine public), fiche Push Up to Side Plank : https://github.com/yuhonas/free-exercise-db/blob/main/exercises/Push_Up_to_Side_Plank.json
free-exercise-db (domaine public), fiche Freehand Jump Squat : https://github.com/yuhonas/free-exercise-db/blob/main/exercises/Freehand_Jump_Squat.json</t>
  </si>
  <si>
    <t xml:space="preserve">Comment faire des burpees (Les Fitness Basics) (français)
https://www.youtube.com/watch?v=4YPWd8z090A</t>
  </si>
  <si>
    <t xml:space="preserve">mountain_climbers</t>
  </si>
  <si>
    <t xml:space="preserve">Mountain climbers</t>
  </si>
  <si>
    <t xml:space="preserve">Épaules (avant), Quadriceps, Obliques</t>
  </si>
  <si>
    <t xml:space="preserve">En planche bras tendus.
Ramène rapidement les genoux vers la poitrine en alternance, comme si tu courais.
Épaules au-dessus des mains.</t>
  </si>
  <si>
    <t xml:space="preserve">Le bassin reste bas et stable.</t>
  </si>
  <si>
    <t xml:space="preserve">Fesses en l'air.
Pieds qui ne touchent pas le sol à chaque pas.</t>
  </si>
  <si>
    <t xml:space="preserve">Mountain climber : exécution, technique, conseils et progression (français)
https://www.youtube.com/watch?v=gXv9T1flQhU</t>
  </si>
  <si>
    <t xml:space="preserve">corde_imaginaire</t>
  </si>
  <si>
    <t xml:space="preserve">Corde à sauter imaginaire</t>
  </si>
  <si>
    <t xml:space="preserve">1. Sauts pieds joints (20 s)
2. 30 s (30 s)
3. Alternance des pieds, rapide (40 s)</t>
  </si>
  <si>
    <t xml:space="preserve">Quadriceps, Épaules (côté)</t>
  </si>
  <si>
    <t xml:space="preserve">Fais tourner des poignets comme si tu tenais une corde.
Saute à petite hauteur sur l'avant des pieds.
Genoux souples à chaque réception.</t>
  </si>
  <si>
    <t xml:space="preserve">Petits sauts : quelques centimètres suffisent.</t>
  </si>
  <si>
    <t xml:space="preserve">Sauter trop haut.
Atterrir sur les talons.</t>
  </si>
  <si>
    <t xml:space="preserve">free-exercise-db (domaine public), fiche Rope Jumping : https://github.com/yuhonas/free-exercise-db/blob/main/exercises/Rope_Jumping.json</t>
  </si>
  <si>
    <t xml:space="preserve">Étape 1 : corde à sauter sans corde (français)
https://www.youtube.com/watch?v=2Qg1Mt-LVSI</t>
  </si>
  <si>
    <t xml:space="preserve">saut_etoile</t>
  </si>
  <si>
    <t xml:space="preserve">Saut en étoile</t>
  </si>
  <si>
    <t xml:space="preserve">1. 6 sauts (6 rép.)
2. 8 sauts (8 rép.)
3. 10 sauts (10 rép.)</t>
  </si>
  <si>
    <t xml:space="preserve">Quadriceps, Mollets</t>
  </si>
  <si>
    <t xml:space="preserve">Grand fessier, Épaules (côté)</t>
  </si>
  <si>
    <t xml:space="preserve">Accroupis-toi légèrement.
Saute en écartant bras et jambes en étoile.
Reviens pieds joints en réception souple.</t>
  </si>
  <si>
    <t xml:space="preserve">Exercice très intense : quelques répétitions suffisent.</t>
  </si>
  <si>
    <t xml:space="preserve">Réception jambes tendues.
Enchaîner sans contrôle.</t>
  </si>
  <si>
    <t xml:space="preserve">Comment faire les star jumps (français)
https://www.youtube.com/watch?v=NkbiKuADX_M</t>
  </si>
  <si>
    <t xml:space="preserve">cercles_bras</t>
  </si>
  <si>
    <t xml:space="preserve">Cercles de bras</t>
  </si>
  <si>
    <t xml:space="preserve">etirement</t>
  </si>
  <si>
    <t xml:space="preserve">mobilite</t>
  </si>
  <si>
    <t xml:space="preserve">1. Petits cercles (30 s)
2. Petits puis grands cercles (30 s)</t>
  </si>
  <si>
    <t xml:space="preserve">Épaules (côté), Épaules (avant)</t>
  </si>
  <si>
    <t xml:space="preserve">Trapèzes, Coiffe des rotateurs</t>
  </si>
  <si>
    <t xml:space="preserve">2.3 (code 02101, Étirements doux)</t>
  </si>
  <si>
    <t xml:space="preserve">Debout, bras tendus sur les côtés.
Fais des cercles vers l'avant, de petits à grands.
Change de sens à mi-temps.</t>
  </si>
  <si>
    <t xml:space="preserve">Amplitude progressive, sans forcer.</t>
  </si>
  <si>
    <t xml:space="preserve">Respiration libre.</t>
  </si>
  <si>
    <t xml:space="preserve">Hausser les épaules.
Cambrer le dos.</t>
  </si>
  <si>
    <t xml:space="preserve">free-exercise-db (domaine public), fiche Arm Circles : https://github.com/yuhonas/free-exercise-db/blob/main/exercises/Arm_Circles.json</t>
  </si>
  <si>
    <t xml:space="preserve">Cercles de bras (français)
https://www.youtube.com/watch?v=goaXpTMg3QI</t>
  </si>
  <si>
    <t xml:space="preserve">cercles_hanches</t>
  </si>
  <si>
    <t xml:space="preserve">Cercles de hanches</t>
  </si>
  <si>
    <t xml:space="preserve">fessiers, dos</t>
  </si>
  <si>
    <t xml:space="preserve">1. Petits cercles (30 s)
2. Grands cercles (30 s)</t>
  </si>
  <si>
    <t xml:space="preserve">Bas du dos (lombaires), Moyen fessier</t>
  </si>
  <si>
    <t xml:space="preserve">Debout, mains sur les hanches, pieds largeur de bassin.
Dessine de grands cercles avec le bassin.
Change de sens à mi-temps.</t>
  </si>
  <si>
    <t xml:space="preserve">Les épaules restent à peu près immobiles.</t>
  </si>
  <si>
    <t xml:space="preserve">Bouger les épaules plus que le bassin.
Genoux verrouillés.</t>
  </si>
  <si>
    <t xml:space="preserve">free-exercise-db (domaine public), fiche Standing Hip Circles : https://github.com/yuhonas/free-exercise-db/blob/main/exercises/Standing_Hip_Circles.json</t>
  </si>
  <si>
    <t xml:space="preserve">Cercles des hanches (échauffement) (français)
https://www.youtube.com/watch?v=VcpoDKlvEkk</t>
  </si>
  <si>
    <t xml:space="preserve">balancier_jambes</t>
  </si>
  <si>
    <t xml:space="preserve">Balanciers de jambe</t>
  </si>
  <si>
    <t xml:space="preserve">1. Petite amplitude (30 s)
2. Amplitude croissante (40 s)</t>
  </si>
  <si>
    <t xml:space="preserve">Ischio-jambiers, Fléchisseurs de hanche</t>
  </si>
  <si>
    <t xml:space="preserve">Une main sur un appui (mur, dossier de chaise), balance une jambe d'avant en arrière.
Augmente l'amplitude progressivement, buste droit.
Change de jambe à mi-temps.</t>
  </si>
  <si>
    <t xml:space="preserve">Mouvement de balancier relâché, sans lancer la jambe.</t>
  </si>
  <si>
    <t xml:space="preserve">Se pencher pour lever la jambe plus haut.
Lancer la jambe brutalement.</t>
  </si>
  <si>
    <t xml:space="preserve">free-exercise-db (domaine public), fiche Front Leg Raises : https://github.com/yuhonas/free-exercise-db/blob/main/exercises/Front_Leg_Raises.json</t>
  </si>
  <si>
    <t xml:space="preserve">Balancements de jambes avant-arrière (échauffement) (français)
https://www.youtube.com/watch?v=_JWHy86izcw</t>
  </si>
  <si>
    <t xml:space="preserve">rotations_buste</t>
  </si>
  <si>
    <t xml:space="preserve">Rotations du buste</t>
  </si>
  <si>
    <t xml:space="preserve">dos, abdos</t>
  </si>
  <si>
    <t xml:space="preserve">1. Lentement (30 s)
2. Plus d'amplitude (30 s)</t>
  </si>
  <si>
    <t xml:space="preserve">Bas du dos (lombaires), Haut du dos (rhomboïdes)</t>
  </si>
  <si>
    <t xml:space="preserve">Debout, pieds largeur de bassin, bras pliés devant la poitrine.
Tourne le buste d'un côté puis de l'autre.
Le bassin reste face à l'avant.</t>
  </si>
  <si>
    <t xml:space="preserve">Rotation douce, sans à-coup.</t>
  </si>
  <si>
    <t xml:space="preserve">Tourner le bassin avec le buste.
Aller trop vite.</t>
  </si>
  <si>
    <t xml:space="preserve">free-exercise-db (domaine public), fiche Torso Rotation : https://github.com/yuhonas/free-exercise-db/blob/main/exercises/Torso_Rotation.json</t>
  </si>
  <si>
    <t xml:space="preserve">Rotations du buste (français)
https://www.youtube.com/watch?v=I4NlqG57l4Q</t>
  </si>
  <si>
    <t xml:space="preserve">plus_grand_etirement</t>
  </si>
  <si>
    <t xml:space="preserve">Le plus grand étirement du monde</t>
  </si>
  <si>
    <t xml:space="preserve">corps_entier, jambes, dos</t>
  </si>
  <si>
    <t xml:space="preserve">60 s</t>
  </si>
  <si>
    <t xml:space="preserve">1. Main au sol, sans rotation (45 s)
2. Avec rotation du buste (60 s)</t>
  </si>
  <si>
    <t xml:space="preserve">Fléchisseurs de hanche, Ischio-jambiers</t>
  </si>
  <si>
    <t xml:space="preserve">Obliques, Adducteurs, Haut du dos (rhomboïdes)</t>
  </si>
  <si>
    <t xml:space="preserve">Fente avant profonde, mains au sol à l'intérieur du pied avant.
Ouvre le bras côté jambe avant vers le plafond en tournant le buste.
Reviens, puis change de côté à mi-temps.</t>
  </si>
  <si>
    <t xml:space="preserve">Pose le genou arrière au sol si besoin.</t>
  </si>
  <si>
    <t xml:space="preserve">Inspire en ouvrant, expire en revenant.</t>
  </si>
  <si>
    <t xml:space="preserve">Genou avant qui rentre vers l'intérieur.
Hanche arrière qui s'affaisse.</t>
  </si>
  <si>
    <t xml:space="preserve">free-exercise-db (domaine public), fiche Worlds Greatest Stretch : https://github.com/yuhonas/free-exercise-db/blob/main/exercises/Worlds_Greatest_Stretch.json</t>
  </si>
  <si>
    <t xml:space="preserve">World's Greatest Stretch (le meilleur étirement du monde) (français)
https://www.youtube.com/watch?v=_vfHhERqpbI</t>
  </si>
  <si>
    <t xml:space="preserve">montagne</t>
  </si>
  <si>
    <t xml:space="preserve">Posture de la montagne</t>
  </si>
  <si>
    <t xml:space="preserve">yoga</t>
  </si>
  <si>
    <t xml:space="preserve">detente, mobilite</t>
  </si>
  <si>
    <t xml:space="preserve">1. 30 s (30 s)
2. 45 s, yeux fermés (45 s)</t>
  </si>
  <si>
    <t xml:space="preserve">Quadriceps, Grand fessier, Mollets</t>
  </si>
  <si>
    <t xml:space="preserve">2.3 (code 02150, Yoga hatha)</t>
  </si>
  <si>
    <t xml:space="preserve">Debout, pieds parallèles, poids réparti sur tout le pied.
Grandis-toi par le sommet du crâne, épaules relâchées, bras le long du corps.
Reste immobile et observe ta respiration.</t>
  </si>
  <si>
    <t xml:space="preserve">Verrouiller les genoux.
Pousser le ventre en avant.</t>
  </si>
  <si>
    <t xml:space="preserve">Yogamatters, bibliothèque de postures : Mountain Pose (Tadasana) : https://www.yogamatters.com/blogs/pose-library/mountain-pose-tadasana</t>
  </si>
  <si>
    <t xml:space="preserve">La posture de la montagne, Tadasana (français)
https://www.youtube.com/watch?v=ve_cJNhiQVA</t>
  </si>
  <si>
    <t xml:space="preserve">salutation_soleil</t>
  </si>
  <si>
    <t xml:space="preserve">Salutation au soleil (version douce)</t>
  </si>
  <si>
    <t xml:space="preserve">mobilite, cardio</t>
  </si>
  <si>
    <t xml:space="preserve">90 s</t>
  </si>
  <si>
    <t xml:space="preserve">1. 2 cycles lents, genoux au sol (90 s)
2. 3 cycles (120 s)
3. 4 cycles, rythme fluide (150 s)</t>
  </si>
  <si>
    <t xml:space="preserve">Ischio-jambiers, Épaules (avant), Bas du dos (lombaires)</t>
  </si>
  <si>
    <t xml:space="preserve">Pectoraux, Triceps, Fléchisseurs de hanche</t>
  </si>
  <si>
    <t xml:space="preserve">3.5 (code 02180, Salutation au soleil)</t>
  </si>
  <si>
    <t xml:space="preserve">Enchaîne les postures au rythme de ta respiration : une posture, un souffle.
Plie les genoux autant que nécessaire en flexion avant.
Pose les genoux au sol pour la descente vers le cobra si les bras fatiguent.</t>
  </si>
  <si>
    <t xml:space="preserve">Va à ton rythme : la fluidité compte plus que l'amplitude.</t>
  </si>
  <si>
    <t xml:space="preserve">Inspire quand le corps s'ouvre, expire quand il se plie.</t>
  </si>
  <si>
    <t xml:space="preserve">Bloquer sa respiration.
Laisser le bas du dos s'effondrer en cobra.</t>
  </si>
  <si>
    <t xml:space="preserve">The Yoga Institute, Surya Namaskar step by step : https://theyogainstitute.org/surya-namaskar-the-sun-salutation/</t>
  </si>
  <si>
    <t xml:space="preserve">Salutation au soleil pour débutants : 3 progressions (français)
https://www.youtube.com/watch?v=sFprTU_r38o</t>
  </si>
  <si>
    <t xml:space="preserve">chien_tete_bas</t>
  </si>
  <si>
    <t xml:space="preserve">Chien tête en bas</t>
  </si>
  <si>
    <t xml:space="preserve">corps_entier, jambes, epaules</t>
  </si>
  <si>
    <t xml:space="preserve">mobilite, renforcer</t>
  </si>
  <si>
    <t xml:space="preserve">1. Genoux bien fléchis (20 s)
2. 30 s (30 s)
3. 45 s, talons vers le sol (45 s)</t>
  </si>
  <si>
    <t xml:space="preserve">Ischio-jambiers, Mollets, Épaules (avant)</t>
  </si>
  <si>
    <t xml:space="preserve">Grand dorsal, Triceps</t>
  </si>
  <si>
    <t xml:space="preserve">À quatre pattes, orteils retournés.
Pousse le sol avec les mains et monte les fesses vers le plafond.
Dos long en priorité, genoux fléchis si besoin, talons vers le sol sans forcer.</t>
  </si>
  <si>
    <t xml:space="preserve">Un dos long compte plus que des jambes tendues.</t>
  </si>
  <si>
    <t xml:space="preserve">Dos arrondi pour tendre les jambes.
Épaules collées aux oreilles.</t>
  </si>
  <si>
    <t xml:space="preserve">Yoga Journal, Downward-Facing Dog : https://www.yogajournal.com/poses/downward-facing-dog/</t>
  </si>
  <si>
    <t xml:space="preserve">Posture du chien tête en bas (Adho Mukha Svanasana) pour débuter (français)
https://www.youtube.com/watch?v=Ei4a7kDbdlg</t>
  </si>
  <si>
    <t xml:space="preserve">cobra</t>
  </si>
  <si>
    <t xml:space="preserve">Cobra</t>
  </si>
  <si>
    <t xml:space="preserve">1. Petite hauteur (15 s)
2. 20 s (20 s)
3. 30 s (30 s)</t>
  </si>
  <si>
    <t xml:space="preserve">Bas du dos (lombaires), Abdominaux (grand droit)</t>
  </si>
  <si>
    <t xml:space="preserve">Pectoraux, Fléchisseurs de hanche</t>
  </si>
  <si>
    <t xml:space="preserve">À plat ventre, mains sous les épaules, coudes près du corps.
Pousse doucement dans les mains pour décoller la poitrine.
Épaules basses, regard vers l'avant, bassin au sol.</t>
  </si>
  <si>
    <t xml:space="preserve">Monte seulement jusqu'où le bas du dos reste confortable.</t>
  </si>
  <si>
    <t xml:space="preserve">Inspire en montant, puis respire calmement.</t>
  </si>
  <si>
    <t xml:space="preserve">Tendre les bras à fond.
Hausser les épaules.</t>
  </si>
  <si>
    <t xml:space="preserve">Yoga Journal, Cobra Pose : https://www.yogajournal.com/poses/types/cobra-pose-2/</t>
  </si>
  <si>
    <t xml:space="preserve">Apprendre la posture du cobra, Bhujangasana (français)
https://www.youtube.com/watch?v=RGYgiC9319o</t>
  </si>
  <si>
    <t xml:space="preserve">sphinx</t>
  </si>
  <si>
    <t xml:space="preserve">Sphinx</t>
  </si>
  <si>
    <t xml:space="preserve">dos</t>
  </si>
  <si>
    <t xml:space="preserve">mobilite, detente</t>
  </si>
  <si>
    <t xml:space="preserve">45 s</t>
  </si>
  <si>
    <t xml:space="preserve">1. 30 s (30 s)
2. 45 s (45 s)
3. 1 min (60 s)</t>
  </si>
  <si>
    <t xml:space="preserve">Abdominaux (grand droit), Pectoraux</t>
  </si>
  <si>
    <t xml:space="preserve">À plat ventre, avant-bras au sol, coudes sous les épaules.
Laisse la poitrine s'ouvrir, nuque longue.
Relâche les fessiers et les jambes.</t>
  </si>
  <si>
    <t xml:space="preserve">Version plus douce du cobra.</t>
  </si>
  <si>
    <t xml:space="preserve">Respire lentement dans le ventre.</t>
  </si>
  <si>
    <t xml:space="preserve">S'affaisser entre les épaules.
Serrer fort les fessiers.</t>
  </si>
  <si>
    <t xml:space="preserve">Yoga Journal, Sphinx Pose : https://www.yogajournal.com/poses/sphinx-pose/</t>
  </si>
  <si>
    <t xml:space="preserve">La posture du sphinx guidée, débutants ou seniors (français)
https://www.youtube.com/watch?v=GjRvu1tYP7E</t>
  </si>
  <si>
    <t xml:space="preserve">guerrier_1</t>
  </si>
  <si>
    <t xml:space="preserve">Guerrier I</t>
  </si>
  <si>
    <t xml:space="preserve">1. 20 s par côté (40 s)
2. 30 s par côté (60 s)</t>
  </si>
  <si>
    <t xml:space="preserve">Fléchisseurs de hanche, Épaules (avant)</t>
  </si>
  <si>
    <t xml:space="preserve">Grand pas en arrière, pied arrière tourné vers l'extérieur, talon au sol.
Plie le genou avant au-dessus de la cheville, bassin face à l'avant.
Lève les bras au-dessus de la tête. Change de côté à mi-temps.</t>
  </si>
  <si>
    <t xml:space="preserve">Raccourcis le pas si le talon arrière décolle.</t>
  </si>
  <si>
    <t xml:space="preserve">Respire profondément par le nez.</t>
  </si>
  <si>
    <t xml:space="preserve">Genou avant qui dépasse la cheville.
Cambrer le dos.</t>
  </si>
  <si>
    <t xml:space="preserve">Yoga Journal, Warrior I Pose : https://www.yogajournal.com/pose/poses/warrior-i-pose/</t>
  </si>
  <si>
    <t xml:space="preserve">Posture du guerrier 1 (Virabhadrasana) pour les débutants (français)
https://www.youtube.com/watch?v=FSv689Hk49o</t>
  </si>
  <si>
    <t xml:space="preserve">guerrier_2</t>
  </si>
  <si>
    <t xml:space="preserve">Guerrier II</t>
  </si>
  <si>
    <t xml:space="preserve">Quadriceps, Adducteurs</t>
  </si>
  <si>
    <t xml:space="preserve">Jambes très écartées, pied avant tourné vers l'avant, pied arrière parallèle au tapis.
Plie le genou avant au-dessus de la cheville.
Bras ouverts à l'horizontale, regard au-dessus de la main avant. Change de côté à mi-temps.</t>
  </si>
  <si>
    <t xml:space="preserve">Le genou avant pointe vers le petit orteil.</t>
  </si>
  <si>
    <t xml:space="preserve">Respire profondément et régulièrement.</t>
  </si>
  <si>
    <t xml:space="preserve">Buste penché vers l'avant.
Genou qui rentre vers l'intérieur.</t>
  </si>
  <si>
    <t xml:space="preserve">Yoga Journal, Warrior II Pose : https://www.yogajournal.com/poses/warrior-ii-pose/</t>
  </si>
  <si>
    <t xml:space="preserve">Tuto yoga : le guerrier 2 à la loupe (français)
https://www.youtube.com/watch?v=rtfWanShIsc</t>
  </si>
  <si>
    <t xml:space="preserve">triangle</t>
  </si>
  <si>
    <t xml:space="preserve">Triangle</t>
  </si>
  <si>
    <t xml:space="preserve">1. Main sur le tibia, 20 s par côté (40 s)
2. 30 s par côté (60 s)</t>
  </si>
  <si>
    <t xml:space="preserve">Ischio-jambiers, Obliques, Adducteurs</t>
  </si>
  <si>
    <t xml:space="preserve">Jambes écartées, pied avant tourné vers l'avant, jambes tendues.
Allonge le buste au-dessus de la jambe avant, puis pose la main sur le tibia.
Ouvre l'autre bras vers le plafond. Change de côté à mi-temps.</t>
  </si>
  <si>
    <t xml:space="preserve">Garde les deux côtés du buste longs plutôt que de descendre la main plus bas.</t>
  </si>
  <si>
    <t xml:space="preserve">Respire dans les côtes ouvertes.</t>
  </si>
  <si>
    <t xml:space="preserve">Arrondir le côté du buste.
Verrouiller le genou avant.</t>
  </si>
  <si>
    <t xml:space="preserve">Yoga Journal, Extended Triangle Pose : https://www.yogajournal.com/poses/extended-triangle-pose/</t>
  </si>
  <si>
    <t xml:space="preserve">Yoga : posture du triangle, Utthita Trikonasana (français)
https://www.youtube.com/watch?v=zc1zqcH52yY</t>
  </si>
  <si>
    <t xml:space="preserve">arbre</t>
  </si>
  <si>
    <t xml:space="preserve">Arbre</t>
  </si>
  <si>
    <t xml:space="preserve">renforcer, detente</t>
  </si>
  <si>
    <t xml:space="preserve">1. Pied contre la cheville, 20 s par côté (40 s)
2. Pied contre le mollet ou la cuisse (40 s)
3. 30 s par côté, bras levés (60 s)</t>
  </si>
  <si>
    <t xml:space="preserve">Moyen fessier, Mollets</t>
  </si>
  <si>
    <t xml:space="preserve">Abdominaux profonds, Adducteurs</t>
  </si>
  <si>
    <t xml:space="preserve">Debout sur une jambe, pose la plante du pied libre contre la cheville, le mollet ou la cuisse.
Mains jointes devant la poitrine, regard fixé sur un point.
Change de jambe à mi-temps.</t>
  </si>
  <si>
    <t xml:space="preserve">Jamais le pied contre le genou. Une main au mur au début, si besoin.</t>
  </si>
  <si>
    <t xml:space="preserve">Respiration calme et lente.</t>
  </si>
  <si>
    <t xml:space="preserve">Pied appuyé sur le genou.
Hanche qui sort sur le côté.</t>
  </si>
  <si>
    <t xml:space="preserve">Yoga Journal, Tree Pose : https://www.yogajournal.com/poses/types/tree-pose-2/</t>
  </si>
  <si>
    <t xml:space="preserve">Yoga : posture de l'arbre, Vrikshasana (français)
https://www.youtube.com/watch?v=t8KXifZclxM</t>
  </si>
  <si>
    <t xml:space="preserve">chaise_yoga</t>
  </si>
  <si>
    <t xml:space="preserve">Posture de la chaise</t>
  </si>
  <si>
    <t xml:space="preserve">1. 20 s (20 s)
2. 30 s (30 s)
3. 45 s (45 s)</t>
  </si>
  <si>
    <t xml:space="preserve">Épaules (avant), Bas du dos (lombaires)</t>
  </si>
  <si>
    <t xml:space="preserve">Pieds joints, plie les genoux comme pour t'asseoir.
Lève les bras dans le prolongement du buste.
Poids sur les talons, genoux derrière les orteils.</t>
  </si>
  <si>
    <t xml:space="preserve">Bras devant toi si les épaules sont raides.</t>
  </si>
  <si>
    <t xml:space="preserve">Respire profondément pendant le maintien.</t>
  </si>
  <si>
    <t xml:space="preserve">Cambrer le bas du dos.
Genoux qui dépassent largement les orteils.</t>
  </si>
  <si>
    <t xml:space="preserve">Yoga Journal, Chair Pose : https://www.yogajournal.com/poses/chair-pose-2/</t>
  </si>
  <si>
    <t xml:space="preserve">Comment faire la posture de la chaise, Utkatasana (français)
https://www.youtube.com/watch?v=h3anl2PgCHA</t>
  </si>
  <si>
    <t xml:space="preserve">fente_basse</t>
  </si>
  <si>
    <t xml:space="preserve">Fente basse (posture du croissant)</t>
  </si>
  <si>
    <t xml:space="preserve">1. Mains sur la cuisse, 30 s par côté (60 s)
2. Bras levés, 30 s par côté (60 s)
3. 45 s par côté (90 s)</t>
  </si>
  <si>
    <t xml:space="preserve">Grand fessier, Épaules (avant)</t>
  </si>
  <si>
    <t xml:space="preserve">Genou arrière posé au sol, pied avant devant toi.
Avance doucement le bassin vers l'avant.
Lève les bras si l'équilibre le permet. Change de côté à mi-temps.</t>
  </si>
  <si>
    <t xml:space="preserve">Une serviette pliée sous le genou arrière rend la posture plus confortable.</t>
  </si>
  <si>
    <t xml:space="preserve">Respire lentement, relâche à chaque expiration.</t>
  </si>
  <si>
    <t xml:space="preserve">Cambrer le bas du dos.
Genou avant qui dépasse la cheville.</t>
  </si>
  <si>
    <t xml:space="preserve">Yoga Journal, Low Lunge : https://www.yogajournal.com/poses/low-lunge/</t>
  </si>
  <si>
    <t xml:space="preserve">Yoga : posture du croissant de lune (Anjaneyasana) (français)
https://www.youtube.com/watch?v=A5wGqQ21l2o</t>
  </si>
  <si>
    <t xml:space="preserve">pigeon</t>
  </si>
  <si>
    <t xml:space="preserve">Pigeon (version au sol)</t>
  </si>
  <si>
    <t xml:space="preserve">1. Buste redressé, 30 s par côté (60 s)
2. Buste allongé vers l'avant (60 s)
3. 45 s par côté (90 s)</t>
  </si>
  <si>
    <t xml:space="preserve">Grand fessier, Moyen fessier</t>
  </si>
  <si>
    <t xml:space="preserve">À quatre pattes, avance un genou derrière le poignet du même côté.
Allonge l'autre jambe vers l'arrière, bassin le plus droit possible.
Reste buste droit ou allonge-le vers l'avant. Change de côté à mi-temps.</t>
  </si>
  <si>
    <t xml:space="preserve">Si le genou plié se plaint, fais plutôt l'étirement des fessiers en « 4 » sur le dos.</t>
  </si>
  <si>
    <t xml:space="preserve">Respire lentement dans la hanche étirée.</t>
  </si>
  <si>
    <t xml:space="preserve">Bassin qui bascule sur le côté.
Forcer sur le genou.</t>
  </si>
  <si>
    <t xml:space="preserve">Yoga Journal, Sleeping Pigeon Pose : https://www.yogajournal.com/article/yogapedia/master-sleeping-pigeon-pose-4-steps/</t>
  </si>
  <si>
    <t xml:space="preserve">Posture du pigeon (Yoga by Decathlon) (français)
https://www.youtube.com/watch?v=YqNO0ImMtEY</t>
  </si>
  <si>
    <t xml:space="preserve">papillon</t>
  </si>
  <si>
    <t xml:space="preserve">Papillon</t>
  </si>
  <si>
    <t xml:space="preserve">1. 30 s (30 s)
2. 45 s (45 s)
3. 1 min, buste incliné (60 s)</t>
  </si>
  <si>
    <t xml:space="preserve">Assis, plantes des pieds l'une contre l'autre, genoux ouverts.
Tiens tes pieds et grandis-toi.
Laisse les genoux descendre d'eux-mêmes, sans appuyer dessus.</t>
  </si>
  <si>
    <t xml:space="preserve">Assieds-toi sur un coussin si le dos s'arrondit.</t>
  </si>
  <si>
    <t xml:space="preserve">Appuyer sur les genoux.
Dos arrondi.</t>
  </si>
  <si>
    <t xml:space="preserve">Yoga Journal, Bound Angle Pose : https://www.yogajournal.com/poses/bound-angle-pose-2/</t>
  </si>
  <si>
    <t xml:space="preserve">Posture de yoga du papillon, Baddha Konasana (français)
https://www.youtube.com/watch?v=53WnXeu_Yuw</t>
  </si>
  <si>
    <t xml:space="preserve">pince_assise</t>
  </si>
  <si>
    <t xml:space="preserve">Pince assise</t>
  </si>
  <si>
    <t xml:space="preserve">jambes, dos</t>
  </si>
  <si>
    <t xml:space="preserve">1. Genoux fléchis (30 s)
2. 45 s (45 s)
3. 1 min (60 s)</t>
  </si>
  <si>
    <t xml:space="preserve">Bas du dos (lombaires), Mollets</t>
  </si>
  <si>
    <t xml:space="preserve">Assis, jambes tendues devant toi, genoux légèrement fléchis.
Grandis-toi, puis penche le buste vers l'avant depuis les hanches.
Pose les mains où elles arrivent, sans tirer.</t>
  </si>
  <si>
    <t xml:space="preserve">L'objectif est l'étirement, pas de toucher les pieds.</t>
  </si>
  <si>
    <t xml:space="preserve">Inspire en te grandissant, expire en t'inclinant un peu plus.</t>
  </si>
  <si>
    <t xml:space="preserve">Arrondir le dos pour aller plus loin.
Tirer sur les pieds.</t>
  </si>
  <si>
    <t xml:space="preserve">Yoga Journal, Seated Forward Bend : https://www.yogajournal.com/poses/seated-forward-bend/</t>
  </si>
  <si>
    <t xml:space="preserve">Pince assise, Paschimottanasana (français)
https://www.youtube.com/watch?v=O5lSF1AgAqs</t>
  </si>
  <si>
    <t xml:space="preserve">torsion_couchee</t>
  </si>
  <si>
    <t xml:space="preserve">Torsion allongée</t>
  </si>
  <si>
    <t xml:space="preserve">1. 30 s par côté (60 s)
2. 45 s par côté (90 s)</t>
  </si>
  <si>
    <t xml:space="preserve">Obliques, Bas du dos (lombaires)</t>
  </si>
  <si>
    <t xml:space="preserve">Grand fessier, Pectoraux</t>
  </si>
  <si>
    <t xml:space="preserve">Allongé sur le dos, bras ouverts en croix.
Ramène les genoux pliés vers la poitrine, puis laisse-les tomber d'un côté.
Tourne la tête de l'autre côté. Change de côté à mi-temps.</t>
  </si>
  <si>
    <t xml:space="preserve">Glisse un coussin sous les genoux s'ils ne touchent pas le sol.</t>
  </si>
  <si>
    <t xml:space="preserve">Décoller l'épaule opposée.
Forcer la rotation.</t>
  </si>
  <si>
    <t xml:space="preserve">Yogamatters, bibliothèque de postures : Supine Twist : https://www.yogamatters.com/blogs/pose-library/supine-twist-supta-matsyendrasana</t>
  </si>
  <si>
    <t xml:space="preserve">Posture de la torsion allongée au sol (français)
https://www.youtube.com/watch?v=cvCPeN6XjHs</t>
  </si>
  <si>
    <t xml:space="preserve">bebe_heureux</t>
  </si>
  <si>
    <t xml:space="preserve">Bébé heureux</t>
  </si>
  <si>
    <t xml:space="preserve">1. Mains sur les genoux (30 s)
2. Mains sur les pieds (45 s)
3. 1 min, léger balancement (60 s)</t>
  </si>
  <si>
    <t xml:space="preserve">Adducteurs, Grand fessier</t>
  </si>
  <si>
    <t xml:space="preserve">Ischio-jambiers, Bas du dos (lombaires)</t>
  </si>
  <si>
    <t xml:space="preserve">Allongé sur le dos, ramène les genoux vers les aisselles.
Attrape les pieds par l'extérieur, plantes vers le plafond.
Laisse le bas du dos se poser au sol.</t>
  </si>
  <si>
    <t xml:space="preserve">Tiens tes genoux ou l'arrière des cuisses si tu n'atteins pas les pieds.</t>
  </si>
  <si>
    <t xml:space="preserve">Respire lentement.</t>
  </si>
  <si>
    <t xml:space="preserve">Décoller la tête du sol.
Tirer fort sur les pieds.</t>
  </si>
  <si>
    <t xml:space="preserve">Yogamatters, bibliothèque de postures : Happy Baby Pose : https://www.yogamatters.com/blogs/pose-library/happy-baby-pose-ananda-balasana</t>
  </si>
  <si>
    <t xml:space="preserve">Bébé heureux : 1 minute de yoga par jour (français)
https://www.youtube.com/watch?v=1FqB-qyeKAE</t>
  </si>
  <si>
    <t xml:space="preserve">jambes_au_mur</t>
  </si>
  <si>
    <t xml:space="preserve">Jambes contre le mur</t>
  </si>
  <si>
    <t xml:space="preserve">detente</t>
  </si>
  <si>
    <t xml:space="preserve">120 s</t>
  </si>
  <si>
    <t xml:space="preserve">1. 2 min (120 s)
2. 3 min (180 s)
3. 5 min (300 s)</t>
  </si>
  <si>
    <t xml:space="preserve">Mollets, Bas du dos (lombaires)</t>
  </si>
  <si>
    <t xml:space="preserve">Assieds-toi de côté contre un mur, puis bascule pour allonger les jambes contre le mur.
Fesses proches du mur, bras relâchés.
Ferme les yeux et laisse les jambes se détendre.</t>
  </si>
  <si>
    <t xml:space="preserve">Éloigne un peu les fesses du mur si l'arrière des cuisses tire trop.</t>
  </si>
  <si>
    <t xml:space="preserve">Respiration lente et longue.</t>
  </si>
  <si>
    <t xml:space="preserve">Garder les jambes contractées.
Se placer trop loin du mur.</t>
  </si>
  <si>
    <t xml:space="preserve">Yoga Journal, Legs Up the Wall Pose : https://www.yogajournal.com/poses/legs-up-the-wall-pose-2/</t>
  </si>
  <si>
    <t xml:space="preserve">Viparita Karani : les jambes le long du mur (français)
https://www.youtube.com/watch?v=aXd7u9MoI7E</t>
  </si>
  <si>
    <t xml:space="preserve">quadriceps_debout</t>
  </si>
  <si>
    <t xml:space="preserve">Étirement des quadriceps debout</t>
  </si>
  <si>
    <t xml:space="preserve">Debout, une main sur un appui (mur, dossier de chaise).
Attrape ta cheville et ramène le talon vers la fesse.
Genoux côte à côte, bassin légèrement rentré. Change de côté.</t>
  </si>
  <si>
    <t xml:space="preserve">Utilise une serviette autour de la cheville si tu ne l'attrapes pas.</t>
  </si>
  <si>
    <t xml:space="preserve">Respire lentement pendant le maintien.</t>
  </si>
  <si>
    <t xml:space="preserve">Genou qui part vers l'avant ou sur le côté.
Cambrer le dos.</t>
  </si>
  <si>
    <t xml:space="preserve">free-exercise-db (domaine public), fiche Quad Stretch : https://github.com/yuhonas/free-exercise-db/blob/main/exercises/Quad_Stretch.json
NHS, Flexibility exercises : https://www.nhs.uk/live-well/exercise/flexibility-exercises/</t>
  </si>
  <si>
    <t xml:space="preserve">Étirement des quadriceps en position debout (Masseo) (français)
https://www.youtube.com/watch?v=4c5oLJxm2Nk</t>
  </si>
  <si>
    <t xml:space="preserve">etirement_lateral</t>
  </si>
  <si>
    <t xml:space="preserve">Étirement latéral debout</t>
  </si>
  <si>
    <t xml:space="preserve">1. 15 s par côté (30 s)
2. 20 s par côté (40 s)</t>
  </si>
  <si>
    <t xml:space="preserve">Obliques, Grand dorsal</t>
  </si>
  <si>
    <t xml:space="preserve">Debout, pieds largeur de hanches.
Lève un bras au-dessus de la tête et penche-toi doucement de l'autre côté.
Reviens au centre et change de côté.</t>
  </si>
  <si>
    <t xml:space="preserve">Penche-toi sur le côté, pas vers l'avant.</t>
  </si>
  <si>
    <t xml:space="preserve">Inspire en levant le bras, expire en t'inclinant.</t>
  </si>
  <si>
    <t xml:space="preserve">Tourner le buste.
Hausser l'épaule.</t>
  </si>
  <si>
    <t xml:space="preserve">free-exercise-db (domaine public), fiche Standing Lateral Stretch : https://github.com/yuhonas/free-exercise-db/blob/main/exercises/Standing_Lateral_Stretch.json</t>
  </si>
  <si>
    <t xml:space="preserve">Étirement latéral debout (français)
https://www.youtube.com/watch?v=ML6zsqBPmPg</t>
  </si>
  <si>
    <t xml:space="preserve">epaule_bras_croise</t>
  </si>
  <si>
    <t xml:space="preserve">Étirement de l'épaule, bras croisé</t>
  </si>
  <si>
    <t xml:space="preserve">Épaules (arrière)</t>
  </si>
  <si>
    <t xml:space="preserve">Haut du dos (rhomboïdes)</t>
  </si>
  <si>
    <t xml:space="preserve">Amène un bras tendu devant la poitrine.
Avec l'autre main, rapproche-le doucement du corps, au-dessus du coude.
Épaules basses. Change de côté.</t>
  </si>
  <si>
    <t xml:space="preserve">Appuie au-dessus du coude, jamais dessus.</t>
  </si>
  <si>
    <t xml:space="preserve">Hausser l'épaule étirée.
Tourner le buste.</t>
  </si>
  <si>
    <t xml:space="preserve">free-exercise-db (domaine public), fiche Shoulder Stretch : https://github.com/yuhonas/free-exercise-db/blob/main/exercises/Shoulder_Stretch.json</t>
  </si>
  <si>
    <t xml:space="preserve">Étirement épaule : technique bras croisé devant la poitrine (français)
https://www.youtube.com/watch?v=mlUh1XQikKM</t>
  </si>
  <si>
    <t xml:space="preserve">triceps_etirement</t>
  </si>
  <si>
    <t xml:space="preserve">Étirement des triceps</t>
  </si>
  <si>
    <t xml:space="preserve">Lève un bras et plie le coude pour poser la main entre les omoplates.
Avec l'autre main, pousse doucement le coude vers l'arrière.
Change de côté.</t>
  </si>
  <si>
    <t xml:space="preserve">Reste dans une amplitude confortable pour l'épaule.</t>
  </si>
  <si>
    <t xml:space="preserve">Cambrer le dos.
Pencher la tête vers l'avant.</t>
  </si>
  <si>
    <t xml:space="preserve">free-exercise-db (domaine public), fiche Triceps Stretch : https://github.com/yuhonas/free-exercise-db/blob/main/exercises/Triceps_Stretch.json</t>
  </si>
  <si>
    <t xml:space="preserve">Étirement triceps : technique bras derrière la tête (français)
https://www.youtube.com/watch?v=V8nA6t_r8JM</t>
  </si>
  <si>
    <t xml:space="preserve">torsion_assise</t>
  </si>
  <si>
    <t xml:space="preserve">Torsion assise</t>
  </si>
  <si>
    <t xml:space="preserve">Assis, une jambe tendue, l'autre pied posé à l'extérieur du genou.
Grandis-toi, puis tourne le buste vers le genou plié.
Coude contre le genou, regard derrière toi. Change de côté.</t>
  </si>
  <si>
    <t xml:space="preserve">Grandis-toi à chaque inspiration, tourne un peu à chaque expiration.</t>
  </si>
  <si>
    <t xml:space="preserve">Inspire en te grandissant, expire en tournant.</t>
  </si>
  <si>
    <t xml:space="preserve">Dos arrondi.
Forcer avec le bras.</t>
  </si>
  <si>
    <t xml:space="preserve">free-exercise-db (domaine public), fiche Spinal Stretch : https://github.com/yuhonas/free-exercise-db/blob/main/exercises/Spinal_Stretch.json</t>
  </si>
  <si>
    <t xml:space="preserve">1 minute de yoga par jour : torsion assise (français)
https://www.youtube.com/watch?v=gsp1AZcEn54</t>
  </si>
  <si>
    <t xml:space="preserve">genoux_poitrine</t>
  </si>
  <si>
    <t xml:space="preserve">Genoux à la poitrine</t>
  </si>
  <si>
    <t xml:space="preserve">1. Une jambe à la fois (40 s)
2. Deux jambes, léger balancement (40 s)</t>
  </si>
  <si>
    <t xml:space="preserve">Allongé sur le dos.
Ramène les genoux vers la poitrine, mains sous les genoux.
Balance-toi doucement de gauche à droite si c'est agréable.</t>
  </si>
  <si>
    <t xml:space="preserve">Décoller la tête.
Tirer fort sur les genoux.</t>
  </si>
  <si>
    <t xml:space="preserve">free-exercise-db (domaine public), fiche Hug Knees To Chest : https://github.com/yuhonas/free-exercise-db/blob/main/exercises/Hug_Knees_To_Chest.json
NHS, Flexibility exercises : https://www.nhs.uk/live-well/exercise/flexibility-exercises/</t>
  </si>
  <si>
    <t xml:space="preserve">Un étirement pour détendre les lombaires (français)
https://www.youtube.com/watch?v=KCiEleLODc8</t>
  </si>
  <si>
    <t xml:space="preserve">coherence_cardiaque</t>
  </si>
  <si>
    <t xml:space="preserve">Respiration lente (6 cycles par minute)</t>
  </si>
  <si>
    <t xml:space="preserve">meditation</t>
  </si>
  <si>
    <t xml:space="preserve">180 s</t>
  </si>
  <si>
    <t xml:space="preserve">1. 3 min (180 s)
2. 5 min (300 s)</t>
  </si>
  <si>
    <t xml:space="preserve">Diaphragme</t>
  </si>
  <si>
    <t xml:space="preserve">1 (code 07075, Méditation)</t>
  </si>
  <si>
    <t xml:space="preserve">Assis, dos droit, pieds au sol.
Inspire par le nez pendant 5 secondes, puis expire pendant 5 secondes.
Garde ce rythme régulier jusqu'à la fin, sans forcer.</t>
  </si>
  <si>
    <t xml:space="preserve">Si tu te sens étourdi, reprends une respiration normale.</t>
  </si>
  <si>
    <t xml:space="preserve">5 s d'inspiration, 5 s d'expiration : 6 cycles par minute.</t>
  </si>
  <si>
    <t xml:space="preserve">Gonfler la poitrine plutôt que le ventre.
Forcer l'inspiration.</t>
  </si>
  <si>
    <t xml:space="preserve">Respiration lente autour de 6 cycles par minute, revue systématique (Université de Berne) : https://boris.unibe.ch/193198</t>
  </si>
  <si>
    <t xml:space="preserve">Cohérence cardiaque 5:5, 5 minutes de respiration guidée (français)
https://www.youtube.com/watch?v=vs_8iqpGoEM</t>
  </si>
  <si>
    <t xml:space="preserve">respiration_carree</t>
  </si>
  <si>
    <t xml:space="preserve">Respiration carrée</t>
  </si>
  <si>
    <t xml:space="preserve">1. 2 min, carré de 3 s (120 s)
2. 3 min, carré de 4 s (180 s)</t>
  </si>
  <si>
    <t xml:space="preserve">Assis confortablement, expire complètement.
Inspire 4 s, retiens 4 s, expire 4 s, retiens 4 s.
Recommence en imaginant les quatre côtés d'un carré.</t>
  </si>
  <si>
    <t xml:space="preserve">Raccourcis les temps (3 s) si les pauses sont inconfortables.</t>
  </si>
  <si>
    <t xml:space="preserve">Quatre temps égaux : inspire, pause, expire, pause.</t>
  </si>
  <si>
    <t xml:space="preserve">Contracter les épaules pendant les pauses.
Accélérer le compte.</t>
  </si>
  <si>
    <t xml:space="preserve">University of Pittsburgh, Box Breathing : https://sova.pitt.edu/box-breathing</t>
  </si>
  <si>
    <t xml:space="preserve">Respiration carrée (exercice de 5 min) (français)
https://www.youtube.com/watch?v=O6NKXExzkww</t>
  </si>
  <si>
    <t xml:space="preserve">meditation_souffle</t>
  </si>
  <si>
    <t xml:space="preserve">Méditation : attention au souffle</t>
  </si>
  <si>
    <t xml:space="preserve">300 s</t>
  </si>
  <si>
    <t xml:space="preserve">1. 3 min (180 s)
2. 5 min (300 s)
3. 10 min (600 s)</t>
  </si>
  <si>
    <t xml:space="preserve">Assis, dos droit sans raideur, yeux fermés ou regard posé au sol.
Porte ton attention sur les sensations du souffle, au niveau des narines ou du ventre.
Quand ton esprit s'égare, remarque-le simplement et reviens au souffle.</t>
  </si>
  <si>
    <t xml:space="preserve">Respire naturellement, sans chercher à modifier le rythme.</t>
  </si>
  <si>
    <t xml:space="preserve">Se reprocher d'avoir des pensées : c'est normal.
Contrôler la respiration.</t>
  </si>
  <si>
    <t xml:space="preserve">UCLA Mindful, méditations guidées gratuites : https://www.uclahealth.org/uclamindful/guided-meditations
NHS Torbay and South Devon, Mindfulness of breath : https://www.torbayandsouthdevon.nhs.uk/uploads/mindfulness-of-breath-instructions.pdf</t>
  </si>
  <si>
    <t xml:space="preserve">Méditation guidée courte spéciale débutant, 5 min de pleine conscience (français)
https://www.youtube.com/watch?v=VBSelbkOELA</t>
  </si>
  <si>
    <t xml:space="preserve">scan_corporel</t>
  </si>
  <si>
    <t xml:space="preserve">Méditation : scan corporel</t>
  </si>
  <si>
    <t xml:space="preserve">420 s</t>
  </si>
  <si>
    <t xml:space="preserve">1. 5 min (300 s)
2. 7 min (420 s)
3. 10 min (600 s)</t>
  </si>
  <si>
    <t xml:space="preserve">Allongé sur le dos, bras le long du corps, yeux fermés.
Promène ton attention des orteils jusqu'au sommet du crâne, zone par zone.
Observe chaque sensation sans la juger, puis passe à la zone suivante.</t>
  </si>
  <si>
    <t xml:space="preserve">Idéal le soir : si tu t'endors, c'est que ton corps en avait besoin.</t>
  </si>
  <si>
    <t xml:space="preserve">Respire naturellement, en imaginant le souffle circuler jusqu'à la zone observée.</t>
  </si>
  <si>
    <t xml:space="preserve">Vouloir détendre de force.
Aller trop vite d'une zone à l'autre.</t>
  </si>
  <si>
    <t xml:space="preserve">Greater Good in Action (UC Berkeley), Body Scan Meditation : https://ggia.berkeley.edu/practice/body_scan_meditation
UCLA Mindful, méditations guidées gratuites : https://www.uclahealth.org/uclamindful/guided-meditations</t>
  </si>
  <si>
    <t xml:space="preserve">Méditation guidée : balayage corporel 10 min (français)
https://www.youtube.com/watch?v=1WAXGcKi9i8</t>
  </si>
  <si>
    <t xml:space="preserve">relaxation_progressive</t>
  </si>
  <si>
    <t xml:space="preserve">Relaxation musculaire progressive</t>
  </si>
  <si>
    <t xml:space="preserve">1. 5 min, grandes zones (300 s)
2. 7 min (420 s)
3. 10 min, zone par zone (600 s)</t>
  </si>
  <si>
    <t xml:space="preserve">Allongé ou assis, yeux fermés.
Contracte un groupe de muscles 5 secondes (pieds, jambes, ventre, mains, épaules, visage), puis relâche d'un coup.
Observe la détente 10 à 15 secondes avant de passer au groupe suivant.</t>
  </si>
  <si>
    <t xml:space="preserve">Contracte modérément, jamais jusqu'à la crampe ou la douleur.</t>
  </si>
  <si>
    <t xml:space="preserve">Inspire en contractant, expire en relâchant.</t>
  </si>
  <si>
    <t xml:space="preserve">Contracter trop fort.
Enchaîner sans observer la détente.</t>
  </si>
  <si>
    <t xml:space="preserve">University of Rochester, Progressive Muscle Relaxation : https://www.rochester.edu/uhs/ucc/online-screening-resources/progressive-muscle-relaxation</t>
  </si>
  <si>
    <t xml:space="preserve">Relaxation musculaire progressive, guidée par Isabelle Soucy, Ph. D. (français)
https://www.youtube.com/watch?v=2KSp2uQsEH8</t>
  </si>
  <si>
    <t xml:space="preserve">rowing</t>
  </si>
  <si>
    <t xml:space="preserve">Rowing assis à l'élastique</t>
  </si>
  <si>
    <t xml:space="preserve">Existant, ré-étiqueté</t>
  </si>
  <si>
    <t xml:space="preserve">(inchangés)</t>
  </si>
  <si>
    <t xml:space="preserve">Haut du dos (rhomboïdes), Grand dorsal</t>
  </si>
  <si>
    <t xml:space="preserve">Biceps, Épaules (arrière), Trapèzes</t>
  </si>
  <si>
    <t xml:space="preserve">(inchangées)</t>
  </si>
  <si>
    <t xml:space="preserve">Expire en tirant, inspire en relâchant.</t>
  </si>
  <si>
    <t xml:space="preserve">Se pencher en arrière pour tirer.
Hausser les épaules vers les oreilles.</t>
  </si>
  <si>
    <t xml:space="preserve">free-exercise-db (domaine public), fiche Seated Cable Rows : https://github.com/yuhonas/free-exercise-db/blob/main/exercises/Seated_Cable_Rows.json</t>
  </si>
  <si>
    <t xml:space="preserve">Rowing assis avec élastiques (français)
https://www.youtube.com/watch?v=mYdXe92a_EM</t>
  </si>
  <si>
    <t xml:space="preserve">pull_apart</t>
  </si>
  <si>
    <t xml:space="preserve">Écarté à l'élastique (band pull-apart)</t>
  </si>
  <si>
    <t xml:space="preserve">Expire en écartant, inspire en revenant.</t>
  </si>
  <si>
    <t xml:space="preserve">Plier les coudes pour s'aider.
Cambrer le bas du dos en fin de mouvement.</t>
  </si>
  <si>
    <t xml:space="preserve">free-exercise-db (domaine public), fiche Band Pull Apart : https://github.com/yuhonas/free-exercise-db/blob/main/exercises/Band_Pull_Apart.json</t>
  </si>
  <si>
    <t xml:space="preserve">Exercice omoplates : band pull apart (français)
https://www.youtube.com/watch?v=MSJzslGuutU</t>
  </si>
  <si>
    <t xml:space="preserve">pallof</t>
  </si>
  <si>
    <t xml:space="preserve">Pallof press (anti-rotation)</t>
  </si>
  <si>
    <t xml:space="preserve">Obliques, Abdominaux profonds</t>
  </si>
  <si>
    <t xml:space="preserve">Abdominaux (grand droit), Moyen fessier</t>
  </si>
  <si>
    <t xml:space="preserve">Respire calmement pendant que les bras sont tendus, sans bloquer.</t>
  </si>
  <si>
    <t xml:space="preserve">Laisser le buste tourner vers l'élastique.
Se placer trop près du point d'attache : il n'y a plus de tension.</t>
  </si>
  <si>
    <t xml:space="preserve">free-exercise-db (domaine public), fiche Pallof Press : https://github.com/yuhonas/free-exercise-db/blob/main/exercises/Pallof_Press.json</t>
  </si>
  <si>
    <t xml:space="preserve">Comment réaliser le Pallof press (français)
https://www.youtube.com/watch?v=I4SKLCM9lyo</t>
  </si>
  <si>
    <t xml:space="preserve">dead_bug</t>
  </si>
  <si>
    <t xml:space="preserve">Dead bug</t>
  </si>
  <si>
    <t xml:space="preserve">Expire pendant que le bras et la jambe s'éloignent, inspire en revenant.</t>
  </si>
  <si>
    <t xml:space="preserve">Laisser le bas du dos décoller du sol.
Aller trop vite et perdre le contrôle.</t>
  </si>
  <si>
    <t xml:space="preserve">free-exercise-db (domaine public), fiche Dead Bug : https://github.com/yuhonas/free-exercise-db/blob/main/exercises/Dead_Bug.json</t>
  </si>
  <si>
    <t xml:space="preserve">Gainage planche et dead bug : la bonne technique (français)
https://www.youtube.com/watch?v=bG17b4f_4bg</t>
  </si>
  <si>
    <t xml:space="preserve">bird_dog</t>
  </si>
  <si>
    <t xml:space="preserve">Bird-dog</t>
  </si>
  <si>
    <t xml:space="preserve">Abdominaux profonds, Épaules (avant)</t>
  </si>
  <si>
    <t xml:space="preserve">Expire en allongeant, inspire en revenant au centre.</t>
  </si>
  <si>
    <t xml:space="preserve">Lever la jambe trop haut et creuser le dos.
Laisser le bassin basculer sur le côté.</t>
  </si>
  <si>
    <t xml:space="preserve">Harvard Health Publishing, Three moves for better spine health (« Big 3 » de Stuart McGill) : https://www.health.harvard.edu/staying-healthy/three-moves-for-better-spine-health</t>
  </si>
  <si>
    <t xml:space="preserve">Gainage bird dog : 1 min pour un dos solide (français)
https://www.youtube.com/watch?v=l2DXJoi0WYE</t>
  </si>
  <si>
    <t xml:space="preserve">planche</t>
  </si>
  <si>
    <t xml:space="preserve">Planche</t>
  </si>
  <si>
    <t xml:space="preserve">Épaules (avant), Grand fessier, Quadriceps</t>
  </si>
  <si>
    <t xml:space="preserve">Respire lentement et régulièrement pendant tout le maintien.</t>
  </si>
  <si>
    <t xml:space="preserve">Fesses trop hautes ou bassin qui s'affaisse.
Bloquer sa respiration.</t>
  </si>
  <si>
    <t xml:space="preserve">free-exercise-db (domaine public), fiche Plank : https://github.com/yuhonas/free-exercise-db/blob/main/exercises/Plank.json
NHS, Strength exercises : https://www.nhs.uk/live-well/exercise/strength-and-flexibility-exercises/strength-exercises/</t>
  </si>
  <si>
    <t xml:space="preserve">La planche sur les genoux : commence ici pour un gainage parfait (français)
https://www.youtube.com/watch?v=ARCrsCnSB-k</t>
  </si>
  <si>
    <t xml:space="preserve">squat_chaise</t>
  </si>
  <si>
    <t xml:space="preserve">Squat sur chaise</t>
  </si>
  <si>
    <t xml:space="preserve">2.8 (code 02340, Se lever d'une chaise, 6 à 12 par minute)</t>
  </si>
  <si>
    <t xml:space="preserve">Se laisser tomber sur la chaise.
Laisser les genoux rentrer vers l'intérieur.</t>
  </si>
  <si>
    <t xml:space="preserve">free-exercise-db (domaine public), fiche Chair Squat : https://github.com/yuhonas/free-exercise-db/blob/main/exercises/Chair_Squat.json
NHS, Strength exercises : https://www.nhs.uk/live-well/exercise/strength-and-flexibility-exercises/strength-exercises/</t>
  </si>
  <si>
    <t xml:space="preserve">Squat sur chaise (français)
https://www.youtube.com/watch?v=bAiHLkX0iWo</t>
  </si>
  <si>
    <t xml:space="preserve">pont</t>
  </si>
  <si>
    <t xml:space="preserve">Pont fessier</t>
  </si>
  <si>
    <t xml:space="preserve">Expire en montant le bassin, inspire en redescendant.</t>
  </si>
  <si>
    <t xml:space="preserve">Cambrer le dos en haut au lieu de serrer les fessiers.
Pousser sur la pointe des pieds.</t>
  </si>
  <si>
    <t xml:space="preserve">Comment faire un pont fessier (français)
https://www.youtube.com/watch?v=9Wma4mC8wpw</t>
  </si>
  <si>
    <t xml:space="preserve">marche_laterale</t>
  </si>
  <si>
    <t xml:space="preserve">Marche latérale à l'élastique</t>
  </si>
  <si>
    <t xml:space="preserve">Respiration libre et régulière.</t>
  </si>
  <si>
    <t xml:space="preserve">Laisser les pieds se toucher : l'élastique se détend.
Balancer le buste d'un côté à l'autre.</t>
  </si>
  <si>
    <t xml:space="preserve">free-exercise-db (domaine public), fiche Monster Walk : https://github.com/yuhonas/free-exercise-db/blob/main/exercises/Monster_Walk.json</t>
  </si>
  <si>
    <t xml:space="preserve">Banded Lateral Walk (anglais)
https://www.youtube.com/watch?v=mZ23K1ulW2A</t>
  </si>
  <si>
    <t xml:space="preserve">ext_hanche</t>
  </si>
  <si>
    <t xml:space="preserve">Extension de hanche à quatre pattes</t>
  </si>
  <si>
    <t xml:space="preserve">Expire en poussant le talon vers le plafond, inspire en revenant.</t>
  </si>
  <si>
    <t xml:space="preserve">Monter trop haut et creuser le dos.
Tourner le bassin vers l'extérieur.</t>
  </si>
  <si>
    <t xml:space="preserve">Extension de la hanche, genou plié (français)
https://www.youtube.com/watch?v=xwTFt_yWEkI</t>
  </si>
  <si>
    <t xml:space="preserve">planche_laterale</t>
  </si>
  <si>
    <t xml:space="preserve">Planche latérale</t>
  </si>
  <si>
    <t xml:space="preserve">Abdominaux profonds, Moyen fessier, Épaules (côté)</t>
  </si>
  <si>
    <t xml:space="preserve">Laisser le bassin descendre.
Pencher le buste vers l'avant.</t>
  </si>
  <si>
    <t xml:space="preserve">Harvard Health Publishing, Three moves for better spine health (« Big 3 » de Stuart McGill) : https://www.health.harvard.edu/staying-healthy/three-moves-for-better-spine-health
free-exercise-db (domaine public), fiche Side Bridge : https://github.com/yuhonas/free-exercise-db/blob/main/exercises/Side_Bridge.json</t>
  </si>
  <si>
    <t xml:space="preserve">Comment bien faire son gainage latéral ? Tutoriel et progression par kiné (français)
https://www.youtube.com/watch?v=_H9lCamSHR0</t>
  </si>
  <si>
    <t xml:space="preserve">respiration</t>
  </si>
  <si>
    <t xml:space="preserve">Respiration costale</t>
  </si>
  <si>
    <t xml:space="preserve">Inspire 3 à 4 s par le nez, expire 5 à 6 s par la bouche.</t>
  </si>
  <si>
    <t xml:space="preserve">Monter les épaules en inspirant.
Forcer l'inspiration.</t>
  </si>
  <si>
    <t xml:space="preserve">Comment maîtriser la respiration latérale costale en Pilates ? (français)
https://www.youtube.com/watch?v=3Bb4ytM0ARA</t>
  </si>
  <si>
    <t xml:space="preserve">bascule_bassin</t>
  </si>
  <si>
    <t xml:space="preserve">Bascule du bassin</t>
  </si>
  <si>
    <t xml:space="preserve">pilates</t>
  </si>
  <si>
    <t xml:space="preserve">Abdominaux profonds, Bas du dos (lombaires)</t>
  </si>
  <si>
    <t xml:space="preserve">1.8 (code 02103, Pilates au sol)</t>
  </si>
  <si>
    <t xml:space="preserve">Expire en plaquant le bas du dos, inspire en relâchant.</t>
  </si>
  <si>
    <t xml:space="preserve">Pousser avec les jambes pour décoller les fesses.
Aller vite au lieu de suivre la respiration.</t>
  </si>
  <si>
    <t xml:space="preserve">free-exercise-db (domaine public), fiche Pelvic Tilt Into Bridge : https://github.com/yuhonas/free-exercise-db/blob/main/exercises/Pelvic_Tilt_Into_Bridge.json</t>
  </si>
  <si>
    <t xml:space="preserve">Pilates : rétroversion du bassin allongé (français)
https://www.youtube.com/watch?v=IEN7fe43K4o</t>
  </si>
  <si>
    <t xml:space="preserve">chat_vache</t>
  </si>
  <si>
    <t xml:space="preserve">Chat-vache</t>
  </si>
  <si>
    <t xml:space="preserve">Abdominaux profonds, Trapèzes</t>
  </si>
  <si>
    <t xml:space="preserve">Inspire en creusant, expire en arrondissant.</t>
  </si>
  <si>
    <t xml:space="preserve">Forcer la cambrure.
Plier les coudes.</t>
  </si>
  <si>
    <t xml:space="preserve">free-exercise-db (domaine public), fiche Cat Stretch : https://github.com/yuhonas/free-exercise-db/blob/main/exercises/Cat_Stretch.json
NHS, Flexibility exercises : https://www.nhs.uk/live-well/exercise/flexibility-exercises/</t>
  </si>
  <si>
    <t xml:space="preserve">Chat-vache : soulage ton dos en 3 min (yoga débutant) (français)
https://www.youtube.com/watch?v=Sf0h4chQzis</t>
  </si>
  <si>
    <t xml:space="preserve">omoplates</t>
  </si>
  <si>
    <t xml:space="preserve">Rapprochement des omoplates</t>
  </si>
  <si>
    <t xml:space="preserve">Haut du dos (rhomboïdes), Trapèzes</t>
  </si>
  <si>
    <t xml:space="preserve">Expire en serrant, inspire en relâchant.</t>
  </si>
  <si>
    <t xml:space="preserve">Hausser les épaules.
Cambrer le bas du dos.</t>
  </si>
  <si>
    <t xml:space="preserve">free-exercise-db (domaine public), fiche Upper Back Stretch : https://github.com/yuhonas/free-exercise-db/blob/main/exercises/Upper_Back_Stretch.json</t>
  </si>
  <si>
    <t xml:space="preserve">Exercice épaule : rapprocher les omoplates (français)
https://www.youtube.com/watch?v=pdI4HS138tc</t>
  </si>
  <si>
    <t xml:space="preserve">wall_slides</t>
  </si>
  <si>
    <t xml:space="preserve">Glissés de bras au mur</t>
  </si>
  <si>
    <t xml:space="preserve">Trapèzes, Épaules (côté)</t>
  </si>
  <si>
    <t xml:space="preserve">Coiffe des rotateurs, Haut du dos (rhomboïdes)</t>
  </si>
  <si>
    <t xml:space="preserve">Inspire en montant, expire en redescendant.</t>
  </si>
  <si>
    <t xml:space="preserve">Décoller le bas du dos du mur.
Monter les épaules vers les oreilles.</t>
  </si>
  <si>
    <t xml:space="preserve">NHS, Flexibility exercises : https://www.nhs.uk/live-well/exercise/flexibility-exercises/</t>
  </si>
  <si>
    <t xml:space="preserve">Wall slide exercice (Nxt Generation Physio) (français)
https://www.youtube.com/watch?v=K8TMa3-E2Is</t>
  </si>
  <si>
    <t xml:space="preserve">ext_thoracique</t>
  </si>
  <si>
    <t xml:space="preserve">Extension thoracique sur chaise</t>
  </si>
  <si>
    <t xml:space="preserve">Haut du dos (rhomboïdes), Bas du dos (lombaires)</t>
  </si>
  <si>
    <t xml:space="preserve">Pectoraux</t>
  </si>
  <si>
    <t xml:space="preserve">Inspire en ouvrant la poitrine, expire en revenant.</t>
  </si>
  <si>
    <t xml:space="preserve">Cambrer le bas du dos au lieu du haut.
Pousser la tête en arrière.</t>
  </si>
  <si>
    <t xml:space="preserve">free-exercise-db (domaine public), fiche Chair Upper Body Stretch : https://github.com/yuhonas/free-exercise-db/blob/main/exercises/Chair_Upper_Body_Stretch.json</t>
  </si>
  <si>
    <t xml:space="preserve">Thoracic Extension Over a Chair (anglais)
https://www.youtube.com/watch?v=4ZqOMX-18O0</t>
  </si>
  <si>
    <t xml:space="preserve">chin_tuck</t>
  </si>
  <si>
    <t xml:space="preserve">Menton rentré</t>
  </si>
  <si>
    <t xml:space="preserve">Cou</t>
  </si>
  <si>
    <t xml:space="preserve">Respiration libre, sans bloquer pendant le maintien.</t>
  </si>
  <si>
    <t xml:space="preserve">Baisser le menton vers la poitrine au lieu de le reculer.
Contracter les épaules.</t>
  </si>
  <si>
    <t xml:space="preserve">Chin Tucks (Cervical Retractions) (anglais)
https://www.youtube.com/watch?v=tQYo15dpKdM</t>
  </si>
  <si>
    <t xml:space="preserve">pecs_porte</t>
  </si>
  <si>
    <t xml:space="preserve">Étirement des pectoraux (porte)</t>
  </si>
  <si>
    <t xml:space="preserve">Expire en avançant le buste, puis respire calmement.</t>
  </si>
  <si>
    <t xml:space="preserve">Monter le coude au-dessus de l'épaule.
Cambrer le dos pour gagner de l'amplitude.</t>
  </si>
  <si>
    <t xml:space="preserve">free-exercise-db (domaine public), fiche Chest And Front Of Shoulder Stretch : https://github.com/yuhonas/free-exercise-db/blob/main/exercises/Chest_And_Front_Of_Shoulder_Stretch.json</t>
  </si>
  <si>
    <t xml:space="preserve">Étirement du grand et du petit pectoral (Masseo) (français)
https://www.youtube.com/watch?v=6pIDnFHUK8E</t>
  </si>
  <si>
    <t xml:space="preserve">trapezes</t>
  </si>
  <si>
    <t xml:space="preserve">Étirement des trapèzes</t>
  </si>
  <si>
    <t xml:space="preserve">Trapèzes, Cou</t>
  </si>
  <si>
    <t xml:space="preserve">Expire en relâchant l'épaule opposée vers le bas.</t>
  </si>
  <si>
    <t xml:space="preserve">Tirer sur la tête avec la main.
Hausser l'épaule du côté étiré.</t>
  </si>
  <si>
    <t xml:space="preserve">free-exercise-db (domaine public), fiche Side Neck Stretch : https://github.com/yuhonas/free-exercise-db/blob/main/exercises/Side_Neck_Stretch.json
NHS, Flexibility exercises : https://www.nhs.uk/live-well/exercise/flexibility-exercises/</t>
  </si>
  <si>
    <t xml:space="preserve">Étirement du trapèze supérieur (Masseo) (français)
https://www.youtube.com/watch?v=vfoWMKhx4v4</t>
  </si>
  <si>
    <t xml:space="preserve">enfant</t>
  </si>
  <si>
    <t xml:space="preserve">Posture de l'enfant</t>
  </si>
  <si>
    <t xml:space="preserve">Grand dorsal, Grand fessier</t>
  </si>
  <si>
    <t xml:space="preserve">Respire dans le dos : il se gonfle à l'inspiration.</t>
  </si>
  <si>
    <t xml:space="preserve">Forcer les fesses vers les talons si les genoux tirent.
Retenir sa respiration.</t>
  </si>
  <si>
    <t xml:space="preserve">free-exercise-db (domaine public), fiche Childs Pose : https://github.com/yuhonas/free-exercise-db/blob/main/exercises/Childs_Pose.json</t>
  </si>
  <si>
    <t xml:space="preserve">Yoga : posture de l'enfant, Balasana (français)
https://www.youtube.com/watch?v=8kGL8IghPbo</t>
  </si>
  <si>
    <t xml:space="preserve">flechisseurs</t>
  </si>
  <si>
    <t xml:space="preserve">Étirement des fléchisseurs de hanche</t>
  </si>
  <si>
    <t xml:space="preserve">Expire en avançant le bassin, puis respire calmement.</t>
  </si>
  <si>
    <t xml:space="preserve">Cambrer le bas du dos.
Avancer le genou avant au-delà des orteils.</t>
  </si>
  <si>
    <t xml:space="preserve">free-exercise-db (domaine public), fiche Kneeling Hip Flexor : https://github.com/yuhonas/free-exercise-db/blob/main/exercises/Kneeling_Hip_Flexor.json
NHS, Flexibility exercises : https://www.nhs.uk/live-well/exercise/flexibility-exercises/</t>
  </si>
  <si>
    <t xml:space="preserve">Étirement psoas : technique en fente genou au sol (français)
https://www.youtube.com/watch?v=5M6zv6hGskQ</t>
  </si>
  <si>
    <t xml:space="preserve">ischios</t>
  </si>
  <si>
    <t xml:space="preserve">Étirement des ischio-jambiers</t>
  </si>
  <si>
    <t xml:space="preserve">Expire en rapprochant doucement la jambe.</t>
  </si>
  <si>
    <t xml:space="preserve">Verrouiller le genou à tout prix.
Décoller les fesses du sol.</t>
  </si>
  <si>
    <t xml:space="preserve">free-exercise-db (domaine public), fiche Hamstring Stretch : https://github.com/yuhonas/free-exercise-db/blob/main/exercises/Hamstring_Stretch.json</t>
  </si>
  <si>
    <t xml:space="preserve">Étirement des ischio-jambiers en position allongée (français)
https://www.youtube.com/watch?v=WTZQYMpSNJk</t>
  </si>
  <si>
    <t xml:space="preserve">fessiers_4</t>
  </si>
  <si>
    <t xml:space="preserve">Étirement des fessiers en « 4 »</t>
  </si>
  <si>
    <t xml:space="preserve">Expire en rapprochant la jambe, puis respire calmement.</t>
  </si>
  <si>
    <t xml:space="preserve">Tirer sur la tête et le cou pour attraper la jambe.
Forcer sur le genou croisé.</t>
  </si>
  <si>
    <t xml:space="preserve">free-exercise-db (domaine public), fiche Ankle On The Knee : https://github.com/yuhonas/free-exercise-db/blob/main/exercises/Ankle_On_The_Knee.json
NHS, Flexibility exercises : https://www.nhs.uk/live-well/exercise/flexibility-exercises/</t>
  </si>
  <si>
    <t xml:space="preserve">Étirement du muscle pyramidal en position allongée (français)
https://www.youtube.com/watch?v=_tvE9m9kkxM</t>
  </si>
  <si>
    <t xml:space="preserve">mollets</t>
  </si>
  <si>
    <t xml:space="preserve">Étirement des mollets</t>
  </si>
  <si>
    <t xml:space="preserve">Respiration lente pendant le maintien.</t>
  </si>
  <si>
    <t xml:space="preserve">Décoller le talon arrière.
Tourner le pied arrière vers l'extérieur.</t>
  </si>
  <si>
    <t xml:space="preserve">free-exercise-db (domaine public), fiche Calf Stretch Hands Against Wall : https://github.com/yuhonas/free-exercise-db/blob/main/exercises/Calf_Stretch_Hands_Against_Wall.json
NHS, Flexibility exercises : https://www.nhs.uk/live-well/exercise/flexibility-exercises/</t>
  </si>
  <si>
    <t xml:space="preserve">Étirement mollets : technique debout contre le mur (français)
https://www.youtube.com/watch?v=zzNI5vxssTI</t>
  </si>
  <si>
    <t xml:space="preserve">glissement_talon</t>
  </si>
  <si>
    <t xml:space="preserve">Glissement de talon</t>
  </si>
  <si>
    <t xml:space="preserve">Expire en faisant glisser le talon, inspire en revenant.</t>
  </si>
  <si>
    <t xml:space="preserve">Creuser le dos quand la jambe s'allonge.
Aller trop vite.</t>
  </si>
  <si>
    <t xml:space="preserve">Core Exercise: Heel Slide (anglais)
https://www.youtube.com/watch?v=6-anByqnKp8</t>
  </si>
  <si>
    <t xml:space="preserve">planche_inclinee</t>
  </si>
  <si>
    <t xml:space="preserve">Planche inclinée, mains en appui</t>
  </si>
  <si>
    <t xml:space="preserve">Épaules (avant), Pectoraux</t>
  </si>
  <si>
    <t xml:space="preserve">Respire lentement pendant tout le maintien.</t>
  </si>
  <si>
    <t xml:space="preserve">Bassin qui s'affaisse.
Support instable qui glisse.</t>
  </si>
  <si>
    <t xml:space="preserve">Gainage à l'aide d'une chaise (français)
https://www.youtube.com/watch?v=jLcQfXPMHXY</t>
  </si>
  <si>
    <t xml:space="preserve">pallof_genoux</t>
  </si>
  <si>
    <t xml:space="preserve">Pallof press à genoux</t>
  </si>
  <si>
    <t xml:space="preserve">Respire calmement bras tendus, sans bloquer.</t>
  </si>
  <si>
    <t xml:space="preserve">Laisser le buste tourner.
S'asseoir sur les talons.</t>
  </si>
  <si>
    <t xml:space="preserve">How to do a Half Kneeling Pallof Press (anglais)
https://www.youtube.com/watch?v=LpBNsIv2olo</t>
  </si>
  <si>
    <t xml:space="preserve">rowing_debout</t>
  </si>
  <si>
    <t xml:space="preserve">Rowing debout à l'élastique</t>
  </si>
  <si>
    <t xml:space="preserve">Balancer le buste.
Tirer avec les mains plutôt qu'avec les coudes.</t>
  </si>
  <si>
    <t xml:space="preserve">Exercice dos à la bande élastique : tirage horizontal debout (français)
https://www.youtube.com/watch?v=OcYrtl3ZAMs</t>
  </si>
  <si>
    <t xml:space="preserve">face_pull_bas</t>
  </si>
  <si>
    <t xml:space="preserve">Tirage coudes écartés à l'élastique</t>
  </si>
  <si>
    <t xml:space="preserve">Coiffe des rotateurs, Trapèzes</t>
  </si>
  <si>
    <t xml:space="preserve">Expire en tirant, inspire en revenant.</t>
  </si>
  <si>
    <t xml:space="preserve">Hausser les épaules.
Cambrer le dos pour finir le tirage.</t>
  </si>
  <si>
    <t xml:space="preserve">free-exercise-db (domaine public), fiche Reverse Flyes : https://github.com/yuhonas/free-exercise-db/blob/main/exercises/Reverse_Flyes.json</t>
  </si>
  <si>
    <t xml:space="preserve">Resistance band face pull : exercice à l'élastique pour l'arrière des épaules (français)
https://www.youtube.com/watch?v=i-hVYySziaU</t>
  </si>
  <si>
    <t xml:space="preserve">rotation_externe</t>
  </si>
  <si>
    <t xml:space="preserve">Rotation externe d'épaule à l'élastique</t>
  </si>
  <si>
    <t xml:space="preserve">Coiffe des rotateurs</t>
  </si>
  <si>
    <t xml:space="preserve">Expire en écartant l'avant-bras, inspire en revenant.</t>
  </si>
  <si>
    <t xml:space="preserve">Décoller le coude du corps.
Élastique trop dur : le mouvement devient saccadé.</t>
  </si>
  <si>
    <t xml:space="preserve">free-exercise-db (domaine public), fiche External Rotation with Band : https://github.com/yuhonas/free-exercise-db/blob/main/exercises/External_Rotation_with_Band.json</t>
  </si>
  <si>
    <t xml:space="preserve">Rotation externe d'épaule (coude au corps) (français)
https://www.youtube.com/watch?v=zUP5qcl9AeA</t>
  </si>
  <si>
    <t xml:space="preserve">elevation_laterale</t>
  </si>
  <si>
    <t xml:space="preserve">Élévation latérale à l'élastique</t>
  </si>
  <si>
    <t xml:space="preserve">Épaules (côté)</t>
  </si>
  <si>
    <t xml:space="preserve">Monter au-dessus des épaules.
Prendre de l'élan avec le buste.</t>
  </si>
  <si>
    <t xml:space="preserve">free-exercise-db (domaine public), fiche Lateral Raise - With Bands : https://github.com/yuhonas/free-exercise-db/blob/main/exercises/Lateral_Raise_-_With_Bands.json</t>
  </si>
  <si>
    <t xml:space="preserve">Élévations latérales à l'élastique pour muscler les épaules (français)
https://www.youtube.com/watch?v=zz9D2QulpBs</t>
  </si>
  <si>
    <t xml:space="preserve">curl_biceps</t>
  </si>
  <si>
    <t xml:space="preserve">Curl des biceps à l'élastique</t>
  </si>
  <si>
    <t xml:space="preserve">Biceps</t>
  </si>
  <si>
    <t xml:space="preserve">Avant-bras</t>
  </si>
  <si>
    <t xml:space="preserve">Expire en pliant les coudes, inspire en redescendant.</t>
  </si>
  <si>
    <t xml:space="preserve">Avancer les coudes.
Se cambrer pour finir la montée.</t>
  </si>
  <si>
    <t xml:space="preserve">free-exercise-db (domaine public), fiche Close-Grip EZ-Bar Curl with Band : https://github.com/yuhonas/free-exercise-db/blob/main/exercises/Close-Grip_EZ-Bar_Curl_with_Band.json</t>
  </si>
  <si>
    <t xml:space="preserve">Curl biceps élastique (français)
https://www.youtube.com/watch?v=L2QhFSJ-Jb4</t>
  </si>
  <si>
    <t xml:space="preserve">triceps_elastique</t>
  </si>
  <si>
    <t xml:space="preserve">Extension des triceps à l'élastique</t>
  </si>
  <si>
    <t xml:space="preserve">Expire en tendant les bras, inspire en revenant.</t>
  </si>
  <si>
    <t xml:space="preserve">Écarter les coudes du corps.
Se pencher en avant pour pousser.</t>
  </si>
  <si>
    <t xml:space="preserve">free-exercise-db (domaine public), fiche Triceps Pushdown : https://github.com/yuhonas/free-exercise-db/blob/main/exercises/Triceps_Pushdown.json</t>
  </si>
  <si>
    <t xml:space="preserve">Triceps extension élastique (français)
https://www.youtube.com/watch?v=IH3w7O5UWKU</t>
  </si>
  <si>
    <t xml:space="preserve">clamshell</t>
  </si>
  <si>
    <t xml:space="preserve">Clamshell (coquillage)</t>
  </si>
  <si>
    <t xml:space="preserve">Expire en ouvrant le genou, inspire en refermant.</t>
  </si>
  <si>
    <t xml:space="preserve">Rouler le bassin vers l'arrière.
Décoller les pieds l'un de l'autre.</t>
  </si>
  <si>
    <t xml:space="preserve">Bien exécuter l'exercice du clamshell (français)
https://www.youtube.com/watch?v=0e4oPtPbqvQ</t>
  </si>
  <si>
    <t xml:space="preserve">abduction_couchee</t>
  </si>
  <si>
    <t xml:space="preserve">Levée de jambe sur le côté</t>
  </si>
  <si>
    <t xml:space="preserve">Expire en montant la jambe, inspire en descendant.</t>
  </si>
  <si>
    <t xml:space="preserve">Pointe du pied tournée vers le plafond.
Bassin qui bascule en arrière.</t>
  </si>
  <si>
    <t xml:space="preserve">free-exercise-db (domaine public), fiche Side Leg Raises : https://github.com/yuhonas/free-exercise-db/blob/main/exercises/Side_Leg_Raises.json</t>
  </si>
  <si>
    <t xml:space="preserve">Musculation des fessiers : abduction de la hanche au sol (français)
https://www.youtube.com/watch?v=7IytTOalmio</t>
  </si>
  <si>
    <t xml:space="preserve">squat_mur</t>
  </si>
  <si>
    <t xml:space="preserve">Squat partiel contre le mur</t>
  </si>
  <si>
    <t xml:space="preserve">Pieds trop près du mur.
Genoux qui rentrent vers l'intérieur.</t>
  </si>
  <si>
    <t xml:space="preserve">Squat au mur (français)
https://www.youtube.com/watch?v=5R4D6zaokL0</t>
  </si>
  <si>
    <t xml:space="preserve">montee_marche</t>
  </si>
  <si>
    <t xml:space="preserve">Montée sur marche basse</t>
  </si>
  <si>
    <t xml:space="preserve">Pousser avec la jambe d'en bas.
Laisser le genou rentrer vers l'intérieur.</t>
  </si>
  <si>
    <t xml:space="preserve">free-exercise-db (domaine public), fiche Dumbbell Step Ups : https://github.com/yuhonas/free-exercise-db/blob/main/exercises/Dumbbell_Step_Ups.json
NHS, Strength exercises : https://www.nhs.uk/live-well/exercise/strength-and-flexibility-exercises/strength-exercises/</t>
  </si>
  <si>
    <t xml:space="preserve">Comment faire un step up (français)
https://www.youtube.com/watch?v=6yF-VaStT_E</t>
  </si>
  <si>
    <t xml:space="preserve">pont_ischios</t>
  </si>
  <si>
    <t xml:space="preserve">Pont fessier, pieds éloignés (ischio-jambiers)</t>
  </si>
  <si>
    <t xml:space="preserve">Cambrer en haut.
Pieds trop loin : crampe assurée.</t>
  </si>
  <si>
    <t xml:space="preserve">free-exercise-db (domaine public), fiche Platform Hamstring Slides : https://github.com/yuhonas/free-exercise-db/blob/main/exercises/Platform_Hamstring_Slides.json</t>
  </si>
  <si>
    <t xml:space="preserve">Renforcement ischio-jambiers : pont fessier (KOSS) (français)
https://www.youtube.com/watch?v=-GUGUNyJv1U</t>
  </si>
  <si>
    <t xml:space="preserve">extension_hanche_debout</t>
  </si>
  <si>
    <t xml:space="preserve">Extension de hanche debout à l'élastique</t>
  </si>
  <si>
    <t xml:space="preserve">Expire en poussant la jambe, inspire en revenant.</t>
  </si>
  <si>
    <t xml:space="preserve">Se pencher en avant pour lever plus haut.
Cambrer le dos.</t>
  </si>
  <si>
    <t xml:space="preserve">free-exercise-db (domaine public), fiche One-Legged Cable Kickback : https://github.com/yuhonas/free-exercise-db/blob/main/exercises/One-Legged_Cable_Kickback.json</t>
  </si>
  <si>
    <t xml:space="preserve">Extensions de hanches debout avec élastique (français)
https://www.youtube.com/watch?v=5-3LkHIlWzM</t>
  </si>
  <si>
    <t xml:space="preserve">releve_mollets</t>
  </si>
  <si>
    <t xml:space="preserve">Montée sur pointes de pieds</t>
  </si>
  <si>
    <t xml:space="preserve">Rebondir en bas.
Laisser les chevilles partir vers l'extérieur.</t>
  </si>
  <si>
    <t xml:space="preserve">free-exercise-db (domaine public), fiche Standing Calf Raises : https://github.com/yuhonas/free-exercise-db/blob/main/exercises/Standing_Calf_Raises.json</t>
  </si>
  <si>
    <t xml:space="preserve">Montées sur pointes de pied (français)
https://www.youtube.com/watch?v=YXbHh4rlQGE</t>
  </si>
  <si>
    <t xml:space="preserve">livre_ouvert</t>
  </si>
  <si>
    <t xml:space="preserve">Livre ouvert (rotation du haut du dos)</t>
  </si>
  <si>
    <t xml:space="preserve">Haut du dos (rhomboïdes), Obliques</t>
  </si>
  <si>
    <t xml:space="preserve">Inspire en ouvrant le bras, expire en revenant.</t>
  </si>
  <si>
    <t xml:space="preserve">Décoller les genoux.
Forcer l'épaule au sol.</t>
  </si>
  <si>
    <t xml:space="preserve">free-exercise-db (domaine public), fiche Side-Lying Floor Stretch : https://github.com/yuhonas/free-exercise-db/blob/main/exercises/Side-Lying_Floor_Stretch.json</t>
  </si>
  <si>
    <t xml:space="preserve">Open Books (Sidelying Thoracic Rotation) (anglais)
https://www.youtube.com/watch?v=rDviWORCWEw</t>
  </si>
  <si>
    <t xml:space="preserve">curl_up_mcgill</t>
  </si>
  <si>
    <t xml:space="preserve">Curl-up de McGill</t>
  </si>
  <si>
    <t xml:space="preserve">Respire normalement pendant les 10 s de maintien.</t>
  </si>
  <si>
    <t xml:space="preserve">Rentrer le menton vers la poitrine.
Plaquer le bas du dos au sol.</t>
  </si>
  <si>
    <t xml:space="preserve">How To Correctly Perform The McGill Modified Curl Up (anglais)
https://www.youtube.com/watch?v=_tz9WGVH25g</t>
  </si>
  <si>
    <t xml:space="preserve">Titre</t>
  </si>
  <si>
    <t xml:space="preserve">Type</t>
  </si>
  <si>
    <t xml:space="preserve">Niveau</t>
  </si>
  <si>
    <t xml:space="preserve">Durée (min)</t>
  </si>
  <si>
    <t xml:space="preserve">Calories (estimation, poids du mode d'emploi)</t>
  </si>
  <si>
    <t xml:space="preserve">Tours</t>
  </si>
  <si>
    <t xml:space="preserve">Pause (s)</t>
  </si>
  <si>
    <t xml:space="preserve">Matériel</t>
  </si>
  <si>
    <t xml:space="preserve">Description</t>
  </si>
  <si>
    <t xml:space="preserve">Contenu</t>
  </si>
  <si>
    <t xml:space="preserve">prog_mobilite_s1</t>
  </si>
  <si>
    <t xml:space="preserve">Mobilité douce</t>
  </si>
  <si>
    <t xml:space="preserve">Jour de programme</t>
  </si>
  <si>
    <t xml:space="preserve">Une séance courte pour délier le dos, les hanches et les épaules entre deux renforcements.</t>
  </si>
  <si>
    <t xml:space="preserve">Corps : Chat-vache
Corps : Cercles de hanches
Corps : Livre ouvert (rotation du haut du dos)
Corps : Le plus grand étirement du monde
Corps : Posture de l'enfant</t>
  </si>
  <si>
    <t xml:space="preserve">prog_mobilite_s2</t>
  </si>
  <si>
    <t xml:space="preserve">Mobilité du dos et des hanches</t>
  </si>
  <si>
    <t xml:space="preserve">Mobilité active pour récupérer et bouger mieux.</t>
  </si>
  <si>
    <t xml:space="preserve">Corps : Chat-vache
Corps : Cercles de bras
Corps : Rotations du buste
Corps : Le plus grand étirement du monde
Corps : Fente basse (posture du croissant)
Corps : Posture de l'enfant</t>
  </si>
  <si>
    <t xml:space="preserve">prog_mobilite_s3</t>
  </si>
  <si>
    <t xml:space="preserve">Mobilité et salutation au soleil</t>
  </si>
  <si>
    <t xml:space="preserve">Mobilité puis deux salutations au soleil en douceur.</t>
  </si>
  <si>
    <t xml:space="preserve">Corps : Chat-vache
Corps : Cercles de hanches
Corps : Salutation au soleil (version douce)
Corps : Le plus grand étirement du monde
Corps : Sphinx
Corps : Torsion allongée</t>
  </si>
  <si>
    <t xml:space="preserve">prog_mobilite_s4</t>
  </si>
  <si>
    <t xml:space="preserve">Mobilité complète</t>
  </si>
  <si>
    <t xml:space="preserve">Une séance de mobilité plus longue pour finir le mois en souplesse.</t>
  </si>
  <si>
    <t xml:space="preserve">Corps : Chat-vache
Corps : Cercles de bras
Corps : Salutation au soleil (version douce)
Corps : Le plus grand étirement du monde
Corps : Fente basse (posture du croissant)
Corps : Pigeon (version au sol)
Corps : Torsion allongée</t>
  </si>
  <si>
    <t xml:space="preserve">prog_recup_s1</t>
  </si>
  <si>
    <t xml:space="preserve">Récupération : étirements</t>
  </si>
  <si>
    <t xml:space="preserve">Étirements doux de tout le corps pour finir la semaine.</t>
  </si>
  <si>
    <t xml:space="preserve">Corps : Genoux à la poitrine
Corps : Étirement des fessiers en « 4 »
Corps : Étirement des ischio-jambiers
Corps : Torsion allongée
Corps : Posture de l'enfant
Corps : Respiration costale</t>
  </si>
  <si>
    <t xml:space="preserve">prog_recup_s2</t>
  </si>
  <si>
    <t xml:space="preserve">Récupération : yoga doux</t>
  </si>
  <si>
    <t xml:space="preserve">Postures de yoga au sol et respiration lente.</t>
  </si>
  <si>
    <t xml:space="preserve">Corps : Chat-vache
Corps : Sphinx
Corps : Posture de l'enfant
Corps : Papillon
Corps : Torsion allongée
Corps : Respiration lente (6 cycles par minute)</t>
  </si>
  <si>
    <t xml:space="preserve">prog_recup_s3</t>
  </si>
  <si>
    <t xml:space="preserve">Récupération : hanches et dos</t>
  </si>
  <si>
    <t xml:space="preserve">Ouverture des hanches, détente du dos et quelques minutes de calme.</t>
  </si>
  <si>
    <t xml:space="preserve">Corps : Fente basse (posture du croissant)
Corps : Pigeon (version au sol)
Corps : Papillon
Corps : Bébé heureux
Corps : Torsion allongée
Corps : Genoux à la poitrine
Corps : Respiration lente (6 cycles par minute)</t>
  </si>
  <si>
    <t xml:space="preserve">prog_recup_s4</t>
  </si>
  <si>
    <t xml:space="preserve">Récupération : bilan du mois</t>
  </si>
  <si>
    <t xml:space="preserve">Étirements et scan corporel pour savourer le chemin parcouru.</t>
  </si>
  <si>
    <t xml:space="preserve">Corps : Chat-vache
Corps : Pince assise
Corps : Papillon
Corps : Torsion allongée
Corps : Méditation : scan corporel</t>
  </si>
  <si>
    <t xml:space="preserve">rf_s1_a</t>
  </si>
  <si>
    <t xml:space="preserve">Bas du corps et gainage</t>
  </si>
  <si>
    <t xml:space="preserve">jambes, fessiers, abdos</t>
  </si>
  <si>
    <t xml:space="preserve">Échauffement : Marche sur place, genoux hauts
Échauffement : Cercles de bras
Échauffement : Cercles de hanches
Échauffement : Rotations du buste
Corps : Squat au poids du corps
Corps : Pont fessier
Corps : Dead bug
Corps : Planche
Retour au calme : Étirement des ischio-jambiers</t>
  </si>
  <si>
    <t xml:space="preserve">rf_s1_b</t>
  </si>
  <si>
    <t xml:space="preserve">Haut du corps et dos</t>
  </si>
  <si>
    <t xml:space="preserve">bras, epaules, dos</t>
  </si>
  <si>
    <t xml:space="preserve">Échauffement : Marche sur place, genoux hauts
Échauffement : Cercles de bras
Échauffement : Cercles de hanches
Échauffement : Rotations du buste
Corps : Pompe sur les genoux
Corps : Superman
Corps : Bird-dog
Corps : Position de l'ours (bear hold)
Retour au calme : Posture de l'enfant</t>
  </si>
  <si>
    <t xml:space="preserve">rf_s1_c</t>
  </si>
  <si>
    <t xml:space="preserve">Cardio doux</t>
  </si>
  <si>
    <t xml:space="preserve">Échauffement : Cercles de bras
Échauffement : Cercles de hanches
Corps : Marche sur place, genoux hauts
Corps : Jumping jacks sans saut
Corps : Squat, coup de pied avant
Corps : Boxe dans le vide
Retour au calme : Chien tête en bas</t>
  </si>
  <si>
    <t xml:space="preserve">rf_s2_a</t>
  </si>
  <si>
    <t xml:space="preserve">Échauffement : Marche sur place, genoux hauts
Échauffement : Cercles de bras
Échauffement : Cercles de hanches
Échauffement : Rotations du buste
Corps : Squat au poids du corps
Corps : Fente arrière
Corps : Pont fessier
Corps : Dead bug
Corps : Planche
Retour au calme : Étirement des ischio-jambiers
Retour au calme : Étirement des fléchisseurs de hanche</t>
  </si>
  <si>
    <t xml:space="preserve">rf_s2_b</t>
  </si>
  <si>
    <t xml:space="preserve">Échauffement : Marche sur place, genoux hauts
Échauffement : Cercles de bras
Échauffement : Cercles de hanches
Échauffement : Rotations du buste
Corps : Pompe sur les genoux
Corps : Superman
Corps : Planche, touchers d'épaule
Corps : Y, T, W au sol
Corps : Bird-dog
Corps : Planche inversée
Retour au calme : Posture de l'enfant
Retour au calme : Étirement de l'épaule, bras croisé</t>
  </si>
  <si>
    <t xml:space="preserve">rf_s2_c</t>
  </si>
  <si>
    <t xml:space="preserve">Cardio et renforcement</t>
  </si>
  <si>
    <t xml:space="preserve">Échauffement : Marche sur place, genoux hauts
Échauffement : Cercles de bras
Échauffement : Cercles de hanches
Corps : Jumping jacks sans saut
Corps : Squat au poids du corps
Corps : Boxe dans le vide
Corps : Mountain climbers lents
Corps : Patineur sans saut
Corps : Squat, coup de pied avant
Retour au calme : Étirement des quadriceps debout
Retour au calme : Chien tête en bas</t>
  </si>
  <si>
    <t xml:space="preserve">rf_s3_a</t>
  </si>
  <si>
    <t xml:space="preserve">Échauffement : Marche sur place, genoux hauts
Échauffement : Cercles de bras
Échauffement : Cercles de hanches
Échauffement : Rotations du buste
Échauffement : Le plus grand étirement du monde
Corps : Squat au poids du corps
Corps : Fente arrière
Corps : Pont fessier
Corps : Dead bug
Corps : Planche
Retour au calme : Étirement des ischio-jambiers
Retour au calme : Étirement des fléchisseurs de hanche</t>
  </si>
  <si>
    <t xml:space="preserve">rf_s3_b</t>
  </si>
  <si>
    <t xml:space="preserve">Échauffement : Marche sur place, genoux hauts
Échauffement : Cercles de bras
Échauffement : Cercles de hanches
Échauffement : Rotations du buste
Échauffement : Le plus grand étirement du monde
Corps : Pompe sur les genoux
Corps : Superman
Corps : Planche, touchers d'épaule
Corps : Y, T, W au sol
Corps : Planche inversée
Retour au calme : Posture de l'enfant
Retour au calme : Étirement de l'épaule, bras croisé</t>
  </si>
  <si>
    <t xml:space="preserve">rf_s3_c</t>
  </si>
  <si>
    <t xml:space="preserve">Échauffement : Marche sur place, genoux hauts
Échauffement : Cercles de bras
Échauffement : Cercles de hanches
Échauffement : Rotations du buste
Corps : Jumping jacks sans saut
Corps : Squat au poids du corps
Corps : Boxe dans le vide
Corps : Mountain climbers lents
Corps : Burpee sans saut
Corps : Squat, coup de pied avant
Retour au calme : Étirement des quadriceps debout
Retour au calme : Chien tête en bas</t>
  </si>
  <si>
    <t xml:space="preserve">rf_s4_a</t>
  </si>
  <si>
    <t xml:space="preserve">Échauffement : Marche sur place, genoux hauts
Échauffement : Cercles de bras
Échauffement : Cercles de hanches
Échauffement : Rotations du buste
Échauffement : Le plus grand étirement du monde
Corps : Squat au poids du corps
Corps : Fente arrière
Corps : Pont fessier
Corps : Fente latérale
Corps : Dead bug
Corps : Planche
Retour au calme : Étirement des ischio-jambiers
Retour au calme : Étirement des fléchisseurs de hanche
Retour au calme : Étirement des fessiers en « 4 »</t>
  </si>
  <si>
    <t xml:space="preserve">rf_s4_b</t>
  </si>
  <si>
    <t xml:space="preserve">Échauffement : Marche sur place, genoux hauts
Échauffement : Cercles de bras
Échauffement : Cercles de hanches
Échauffement : Rotations du buste
Échauffement : Le plus grand étirement du monde
Corps : Pompe sur les genoux
Corps : Superman
Corps : Planche, touchers d'épaule
Corps : Y, T, W au sol
Corps : Planche inversée
Corps : Chenille (inchworm)
Corps : Boxe dans le vide
Corps : Position de l'ours (bear hold)
Retour au calme : Posture de l'enfant
Retour au calme : Étirement de l'épaule, bras croisé
Retour au calme : Étirement des triceps</t>
  </si>
  <si>
    <t xml:space="preserve">rf_s4_c</t>
  </si>
  <si>
    <t xml:space="preserve">Échauffement : Marche sur place, genoux hauts
Échauffement : Cercles de bras
Échauffement : Cercles de hanches
Échauffement : Rotations du buste
Échauffement : Le plus grand étirement du monde
Corps : Jumping jacks sans saut
Corps : Squat au poids du corps
Corps : Boxe dans le vide
Corps : Mountain climbers lents
Corps : Burpee sans saut
Corps : Patineur sans saut
Retour au calme : Étirement des quadriceps debout
Retour au calme : Chien tête en bas
Retour au calme : Étirement latéral debout</t>
  </si>
  <si>
    <t xml:space="preserve">hf_s1_a</t>
  </si>
  <si>
    <t xml:space="preserve">Fessiers : les bases</t>
  </si>
  <si>
    <t xml:space="preserve">Échauffement : Marche sur place, genoux hauts
Échauffement : Cercles de hanches
Échauffement : Balanciers de jambe
Échauffement : Squat au poids du corps
Corps : Pont fessier
Corps : Clamshell (coquillage)
Corps : Ruade (donkey kick)
Corps : Levée de jambe sur le côté
Retour au calme : Étirement des fessiers en « 4 »</t>
  </si>
  <si>
    <t xml:space="preserve">hf_s1_b</t>
  </si>
  <si>
    <t xml:space="preserve">Jambes et fessiers</t>
  </si>
  <si>
    <t xml:space="preserve">Échauffement : Marche sur place, genoux hauts
Échauffement : Cercles de hanches
Échauffement : Balanciers de jambe
Échauffement : Squat au poids du corps
Corps : Squat sumo
Corps : Fente arrière
Corps : Bouche d'incendie (fire hydrant)
Corps : Montée sur pointes de pieds
Retour au calme : Étirement des quadriceps debout</t>
  </si>
  <si>
    <t xml:space="preserve">hf_s1_c</t>
  </si>
  <si>
    <t xml:space="preserve">Fessiers et abdos</t>
  </si>
  <si>
    <t xml:space="preserve">Échauffement : Marche sur place, genoux hauts
Échauffement : Cercles de hanches
Échauffement : Rotations du buste
Corps : Pont fessier en marche
Corps : Dead bug
Corps : Levée de jambe intérieure (adducteurs)
Corps : Crunch inversé
Retour au calme : Papillon</t>
  </si>
  <si>
    <t xml:space="preserve">hf_s2_a</t>
  </si>
  <si>
    <t xml:space="preserve">Fessiers : volume</t>
  </si>
  <si>
    <t xml:space="preserve">Échauffement : Marche sur place, genoux hauts
Échauffement : Cercles de hanches
Échauffement : Balanciers de jambe
Échauffement : Squat au poids du corps
Corps : Pont fessier
Corps : Hip thrust, épaules sur le canapé
Corps : Clamshell (coquillage)
Corps : Ruade (donkey kick)
Corps : Levée de jambe sur le côté
Retour au calme : Étirement des fessiers en « 4 »
Retour au calme : Étirement des fléchisseurs de hanche</t>
  </si>
  <si>
    <t xml:space="preserve">hf_s2_b</t>
  </si>
  <si>
    <t xml:space="preserve">Échauffement : Marche sur place, genoux hauts
Échauffement : Cercles de hanches
Échauffement : Balanciers de jambe
Échauffement : Squat au poids du corps
Corps : Squat sumo
Corps : Fente arrière
Corps : Charnière de hanche (good morning) au poids du corps
Corps : Bouche d'incendie (fire hydrant)
Corps : Montée sur pointes de pieds
Retour au calme : Étirement des quadriceps debout
Retour au calme : Étirement des ischio-jambiers</t>
  </si>
  <si>
    <t xml:space="preserve">hf_s2_c</t>
  </si>
  <si>
    <t xml:space="preserve">Fessiers, abdos et cardio</t>
  </si>
  <si>
    <t xml:space="preserve">Échauffement : Marche sur place, genoux hauts
Échauffement : Cercles de hanches
Échauffement : Rotations du buste
Corps : Pont fessier en marche
Corps : Patineur sans saut
Corps : Dead bug
Corps : Levée de jambe intérieure (adducteurs)
Corps : Squat, coup de pied avant
Retour au calme : Papillon
Retour au calme : Étirement des fessiers en « 4 »</t>
  </si>
  <si>
    <t xml:space="preserve">hf_s3_a</t>
  </si>
  <si>
    <t xml:space="preserve">Fessiers : force</t>
  </si>
  <si>
    <t xml:space="preserve">Échauffement : Marche sur place, genoux hauts
Échauffement : Cercles de hanches
Échauffement : Balanciers de jambe
Échauffement : Squat au poids du corps
Corps : Hip thrust, épaules sur le canapé
Corps : Pont fessier sur une jambe
Corps : Clamshell (coquillage)
Corps : Ruade (donkey kick)
Corps : Levée de jambe sur le côté
Retour au calme : Étirement des fessiers en « 4 »
Retour au calme : Étirement des fléchisseurs de hanche</t>
  </si>
  <si>
    <t xml:space="preserve">hf_s3_b</t>
  </si>
  <si>
    <t xml:space="preserve">Échauffement : Marche sur place, genoux hauts
Échauffement : Cercles de hanches
Échauffement : Balanciers de jambe
Échauffement : Squat au poids du corps
Corps : Squat sumo
Corps : Fente latérale
Corps : Charnière de hanche (good morning) au poids du corps
Corps : Fente arrière
Corps : Montée sur pointes de pieds
Retour au calme : Étirement des quadriceps debout
Retour au calme : Étirement des ischio-jambiers</t>
  </si>
  <si>
    <t xml:space="preserve">hf_s3_c</t>
  </si>
  <si>
    <t xml:space="preserve">Échauffement : Marche sur place, genoux hauts
Échauffement : Cercles de hanches
Échauffement : Rotations du buste
Échauffement : Balanciers de jambe
Corps : Pont fessier en marche
Corps : Patineur sans saut
Corps : Dead bug
Corps : Bouche d'incendie (fire hydrant)
Corps : Squat, coup de pied avant
Retour au calme : Papillon
Retour au calme : Pigeon (version au sol)</t>
  </si>
  <si>
    <t xml:space="preserve">hf_s4_a</t>
  </si>
  <si>
    <t xml:space="preserve">Échauffement : Marche sur place, genoux hauts
Échauffement : Cercles de hanches
Échauffement : Balanciers de jambe
Échauffement : Squat au poids du corps
Corps : Hip thrust, épaules sur le canapé
Corps : Pont fessier sur une jambe
Corps : Clamshell (coquillage)
Corps : Ruade (donkey kick)
Corps : Levée de jambe sur le côté
Corps : Bouche d'incendie (fire hydrant)
Retour au calme : Étirement des fessiers en « 4 »
Retour au calme : Étirement des fléchisseurs de hanche
Retour au calme : Pigeon (version au sol)</t>
  </si>
  <si>
    <t xml:space="preserve">hf_s4_b</t>
  </si>
  <si>
    <t xml:space="preserve">Échauffement : Marche sur place, genoux hauts
Échauffement : Cercles de hanches
Échauffement : Balanciers de jambe
Échauffement : Squat au poids du corps
Corps : Squat sumo
Corps : Fente latérale
Corps : Charnière de hanche (good morning) au poids du corps
Corps : Fente arrière
Corps : Posture de la chaise
Corps : Montée sur pointes de pieds
Corps : Bouche d'incendie (fire hydrant)
Retour au calme : Étirement des quadriceps debout
Retour au calme : Étirement des ischio-jambiers
Retour au calme : Chien tête en bas</t>
  </si>
  <si>
    <t xml:space="preserve">hf_s4_c</t>
  </si>
  <si>
    <t xml:space="preserve">Échauffement : Marche sur place, genoux hauts
Échauffement : Cercles de hanches
Échauffement : Rotations du buste
Échauffement : Balanciers de jambe
Corps : Pont fessier en marche
Corps : Patineur sans saut
Corps : Dead bug
Corps : Bouche d'incendie (fire hydrant)
Corps : Squat, coup de pied avant
Corps : Levée de jambe intérieure (adducteurs)
Corps : Clamshell (coquillage)
Retour au calme : Papillon
Retour au calme : Pigeon (version au sol)
Retour au calme : Bébé heureux</t>
  </si>
  <si>
    <t xml:space="preserve">gc_s1_a</t>
  </si>
  <si>
    <t xml:space="preserve">Gainage : les bases</t>
  </si>
  <si>
    <t xml:space="preserve">Échauffement : Marche sur place, genoux hauts
Échauffement : Cercles de bras
Échauffement : Cercles de hanches
Échauffement : Rotations du buste
Corps : Dead bug
Corps : Planche
Corps : Bird-dog
Corps : Planche latérale
Retour au calme : Cobra</t>
  </si>
  <si>
    <t xml:space="preserve">gc_s1_b</t>
  </si>
  <si>
    <t xml:space="preserve">Poussée et tirage au poids du corps</t>
  </si>
  <si>
    <t xml:space="preserve">bras, dos, epaules</t>
  </si>
  <si>
    <t xml:space="preserve">Échauffement : Marche sur place, genoux hauts
Échauffement : Cercles de bras
Échauffement : Cercles de hanches
Échauffement : Rotations du buste
Corps : Pompe sur les genoux
Corps : Superman
Corps : Position de l'ours (bear hold)
Corps : Squat au poids du corps
Retour au calme : Posture de l'enfant</t>
  </si>
  <si>
    <t xml:space="preserve">gc_s1_c</t>
  </si>
  <si>
    <t xml:space="preserve">Abdos et rotation</t>
  </si>
  <si>
    <t xml:space="preserve">Échauffement : Marche sur place, genoux hauts
Échauffement : Rotations du buste
Échauffement : Cercles de hanches
Corps : Crunch
Corps : Touchers de talons
Corps : Crunch inversé
Corps : Mountain climbers lents
Retour au calme : Torsion allongée</t>
  </si>
  <si>
    <t xml:space="preserve">gc_s2_a</t>
  </si>
  <si>
    <t xml:space="preserve">Gainage : anti-extension</t>
  </si>
  <si>
    <t xml:space="preserve">Échauffement : Marche sur place, genoux hauts
Échauffement : Cercles de bras
Échauffement : Cercles de hanches
Échauffement : Rotations du buste
Corps : Dead bug
Corps : Planche
Corps : Hollow hold (position creuse)
Corps : Planche latérale
Corps : Position de l'ours (bear hold)
Corps : Crunch inversé
Retour au calme : Cobra
Retour au calme : Posture de l'enfant</t>
  </si>
  <si>
    <t xml:space="preserve">gc_s2_b</t>
  </si>
  <si>
    <t xml:space="preserve">Échauffement : Marche sur place, genoux hauts
Échauffement : Cercles de bras
Échauffement : Cercles de hanches
Échauffement : Rotations du buste
Corps : Pompe sur les genoux
Corps : Superman
Corps : Planche inversée
Corps : Y, T, W au sol
Corps : Squat au poids du corps
Corps : Chenille (inchworm)
Retour au calme : Posture de l'enfant
Retour au calme : Étirement de l'épaule, bras croisé</t>
  </si>
  <si>
    <t xml:space="preserve">gc_s2_c</t>
  </si>
  <si>
    <t xml:space="preserve">Échauffement : Marche sur place, genoux hauts
Échauffement : Rotations du buste
Échauffement : Cercles de hanches
Corps : Crunch vélo
Corps : Rotation russe
Corps : Crunch inversé
Corps : Planche, touchers d'épaule
Corps : Mountain climbers lents
Retour au calme : Torsion allongée
Retour au calme : Cobra</t>
  </si>
  <si>
    <t xml:space="preserve">gc_s3_a</t>
  </si>
  <si>
    <t xml:space="preserve">Échauffement : Marche sur place, genoux hauts
Échauffement : Cercles de bras
Échauffement : Cercles de hanches
Échauffement : Rotations du buste
Échauffement : Le plus grand étirement du monde
Corps : Dead bug
Corps : Planche
Corps : Hollow hold (position creuse)
Corps : Planche latérale
Corps : Battements de jambes (ciseaux)
Corps : Crunch inversé
Corps : Planche, touchers d'épaule
Retour au calme : Cobra
Retour au calme : Posture de l'enfant</t>
  </si>
  <si>
    <t xml:space="preserve">gc_s3_b</t>
  </si>
  <si>
    <t xml:space="preserve">Échauffement : Marche sur place, genoux hauts
Échauffement : Cercles de bras
Échauffement : Cercles de hanches
Échauffement : Rotations du buste
Échauffement : Le plus grand étirement du monde
Corps : Pompe
Corps : Superman
Corps : Planche inversée
Corps : Y, T, W au sol
Corps : Chenille (inchworm)
Corps : Squat au poids du corps
Corps : Planche, touchers d'épaule
Retour au calme : Posture de l'enfant
Retour au calme : Étirement des triceps</t>
  </si>
  <si>
    <t xml:space="preserve">gc_s3_c</t>
  </si>
  <si>
    <t xml:space="preserve">Échauffement : Marche sur place, genoux hauts
Échauffement : Rotations du buste
Échauffement : Cercles de hanches
Échauffement : Cercles de bras
Corps : Crunch vélo
Corps : Rotation russe
Corps : Relevé de jambes
Corps : Planche montante (coudes, puis mains)
Corps : Mountain climbers lents
Retour au calme : Torsion allongée
Retour au calme : Cobra</t>
  </si>
  <si>
    <t xml:space="preserve">gc_s4_a</t>
  </si>
  <si>
    <t xml:space="preserve">Échauffement : Marche sur place, genoux hauts
Échauffement : Cercles de bras
Échauffement : Cercles de hanches
Échauffement : Rotations du buste
Échauffement : Le plus grand étirement du monde
Corps : Dead bug
Corps : Planche
Corps : Hollow hold (position creuse)
Corps : Planche latérale
Corps : Battements de jambes (ciseaux)
Corps : Position de l'ours (bear hold)
Corps : Relevé de jambes
Corps : Planche latérale avec rotation
Retour au calme : Cobra
Retour au calme : Posture de l'enfant
Retour au calme : Genoux à la poitrine</t>
  </si>
  <si>
    <t xml:space="preserve">gc_s4_b</t>
  </si>
  <si>
    <t xml:space="preserve">Échauffement : Marche sur place, genoux hauts
Échauffement : Cercles de bras
Échauffement : Cercles de hanches
Échauffement : Rotations du buste
Échauffement : Le plus grand étirement du monde
Corps : Pompe
Corps : Superman
Corps : Planche inversée
Corps : Pompe en V (pike push-up)
Corps : Y, T, W au sol
Corps : Chenille (inchworm)
Corps : Squat au poids du corps
Corps : Position de l'ours (bear hold)
Retour au calme : Posture de l'enfant
Retour au calme : Étirement des triceps
Retour au calme : Étirement de l'épaule, bras croisé</t>
  </si>
  <si>
    <t xml:space="preserve">gc_s4_c</t>
  </si>
  <si>
    <t xml:space="preserve">Échauffement : Marche sur place, genoux hauts
Échauffement : Rotations du buste
Échauffement : Cercles de hanches
Échauffement : Cercles de bras
Échauffement : Chat-vache
Corps : Crunch vélo
Corps : Rotation russe
Corps : Relevé de jambes
Corps : Planche montante (coudes, puis mains)
Corps : Planche latérale avec rotation
Corps : Mountain climbers lents
Retour au calme : Torsion allongée
Retour au calme : Cobra
Retour au calme : Genoux à la poitrine</t>
  </si>
  <si>
    <t xml:space="preserve">rapide_corps_entier_1</t>
  </si>
  <si>
    <t xml:space="preserve">Corps entier, débutant</t>
  </si>
  <si>
    <t xml:space="preserve">Démarrage rapide</t>
  </si>
  <si>
    <t xml:space="preserve">Échauffement : Marche sur place, genoux hauts
Échauffement : Cercles de bras
Corps : Squat au poids du corps
Corps : Pompe sur les genoux
Corps : Pont fessier
Corps : Planche
Retour au calme : Posture de l'enfant</t>
  </si>
  <si>
    <t xml:space="preserve">rapide_corps_entier_2</t>
  </si>
  <si>
    <t xml:space="preserve">Corps entier, intermédiaire</t>
  </si>
  <si>
    <t xml:space="preserve">Échauffement : Marche sur place, genoux hauts
Échauffement : Cercles de bras
Échauffement : Cercles de hanches
Échauffement : Rotations du buste
Corps : Squat au poids du corps
Corps : Pompe sur les genoux
Corps : Fente arrière
Corps : Mountain climbers lents
Corps : Superman
Retour au calme : Posture de l'enfant
Retour au calme : Étirement des quadriceps debout</t>
  </si>
  <si>
    <t xml:space="preserve">rapide_corps_entier_3</t>
  </si>
  <si>
    <t xml:space="preserve">Corps entier, avancé</t>
  </si>
  <si>
    <t xml:space="preserve">Échauffement : Marche sur place, genoux hauts
Échauffement : Cercles de bras
Échauffement : Cercles de hanches
Échauffement : Rotations du buste
Corps : Squat sauté
Corps : Pompe
Corps : Fente arrière
Corps : Burpee
Corps : Planche montante (coudes, puis mains)
Corps : Jumping jacks
Retour au calme : Posture de l'enfant
Retour au calme : Étirement des quadriceps debout</t>
  </si>
  <si>
    <t xml:space="preserve">rapide_abdos_1</t>
  </si>
  <si>
    <t xml:space="preserve">Abdos, débutant</t>
  </si>
  <si>
    <t xml:space="preserve">Échauffement : Rotations du buste
Échauffement : Cercles de hanches
Corps : Dead bug
Corps : Crunch
Corps : Planche
Corps : Crunch inversé
Retour au calme : Cobra</t>
  </si>
  <si>
    <t xml:space="preserve">rapide_abdos_2</t>
  </si>
  <si>
    <t xml:space="preserve">Abdos, intermédiaire</t>
  </si>
  <si>
    <t xml:space="preserve">Échauffement : Marche sur place, genoux hauts
Échauffement : Rotations du buste
Échauffement : Cercles de hanches
Corps : Crunch vélo
Corps : Planche
Corps : Rotation russe
Corps : Battements de jambes (ciseaux)
Corps : Planche latérale
Retour au calme : Cobra
Retour au calme : Torsion allongée</t>
  </si>
  <si>
    <t xml:space="preserve">rapide_abdos_3</t>
  </si>
  <si>
    <t xml:space="preserve">Abdos, avancé</t>
  </si>
  <si>
    <t xml:space="preserve">Échauffement : Marche sur place, genoux hauts
Échauffement : Rotations du buste
Échauffement : Cercles de hanches
Corps : Hollow hold (position creuse)
Corps : V-up (relevé en V)
Corps : Planche montante (coudes, puis mains)
Corps : Rotation russe
Corps : Relevé de jambes
Corps : Mountain climbers
Retour au calme : Cobra
Retour au calme : Torsion allongée</t>
  </si>
  <si>
    <t xml:space="preserve">rapide_jambes_1</t>
  </si>
  <si>
    <t xml:space="preserve">Jambes, débutant</t>
  </si>
  <si>
    <t xml:space="preserve">Échauffement : Marche sur place, genoux hauts
Échauffement : Cercles de hanches
Corps : Squat au poids du corps
Corps : Fente arrière
Corps : Montée sur pointes de pieds
Corps : Pont fessier
Retour au calme : Étirement des quadriceps debout</t>
  </si>
  <si>
    <t xml:space="preserve">rapide_jambes_2</t>
  </si>
  <si>
    <t xml:space="preserve">Jambes, intermédiaire</t>
  </si>
  <si>
    <t xml:space="preserve">Échauffement : Marche sur place, genoux hauts
Échauffement : Cercles de hanches
Échauffement : Balanciers de jambe
Échauffement : Squat au poids du corps
Corps : Squat sumo
Corps : Fente latérale
Corps : Charnière de hanche (good morning) au poids du corps
Corps : Pont fessier sur une jambe
Corps : Montée sur pointes de pieds
Retour au calme : Étirement des quadriceps debout
Retour au calme : Étirement des ischio-jambiers</t>
  </si>
  <si>
    <t xml:space="preserve">rapide_jambes_3</t>
  </si>
  <si>
    <t xml:space="preserve">Jambes, avancé</t>
  </si>
  <si>
    <t xml:space="preserve">Échauffement : Marche sur place, genoux hauts
Échauffement : Cercles de hanches
Échauffement : Balanciers de jambe
Échauffement : Squat au poids du corps
Corps : Squat sauté
Corps : Fente arrière
Corps : Fente latérale
Corps : Pont fessier sur une jambe
Corps : Patineur sauté
Retour au calme : Étirement des quadriceps debout
Retour au calme : Étirement des ischio-jambiers</t>
  </si>
  <si>
    <t xml:space="preserve">rapide_bras_1</t>
  </si>
  <si>
    <t xml:space="preserve">Bras, débutant</t>
  </si>
  <si>
    <t xml:space="preserve">Échauffement : Cercles de bras
Échauffement : Marche sur place, genoux hauts
Corps : Pompe sur les genoux
Corps : Planche inversée
Corps : Boxe dans le vide
Corps : Position de l'ours (bear hold)
Retour au calme : Étirement des triceps</t>
  </si>
  <si>
    <t xml:space="preserve">rapide_bras_2</t>
  </si>
  <si>
    <t xml:space="preserve">Bras, intermédiaire</t>
  </si>
  <si>
    <t xml:space="preserve">Échauffement : Cercles de bras
Échauffement : Marche sur place, genoux hauts
Échauffement : Rotations du buste
Corps : Pompe sur les genoux
Corps : Planche inversée
Corps : Boxe dans le vide
Corps : Pompe
Corps : Planche montante (coudes, puis mains)
Corps : Position de l'ours (bear hold)
Retour au calme : Étirement des triceps
Retour au calme : Étirement de l'épaule, bras croisé</t>
  </si>
  <si>
    <t xml:space="preserve">rapide_bras_3</t>
  </si>
  <si>
    <t xml:space="preserve">Bras, avancé</t>
  </si>
  <si>
    <t xml:space="preserve">Échauffement : Cercles de bras
Échauffement : Marche sur place, genoux hauts
Échauffement : Rotations du buste
Corps : Pompe
Corps : Pompe mains serrées (triceps)
Corps : Planche inversée
Corps : Pompe en V (pike push-up)
Corps : Planche montante (coudes, puis mains)
Corps : Boxe dans le vide
Retour au calme : Étirement des triceps
Retour au calme : Étirement de l'épaule, bras croisé</t>
  </si>
  <si>
    <t xml:space="preserve">rapide_epaules_1</t>
  </si>
  <si>
    <t xml:space="preserve">Épaules, débutant</t>
  </si>
  <si>
    <t xml:space="preserve">Échauffement : Cercles de bras
Échauffement : Rotations du buste
Corps : Y, T, W au sol
Corps : Position de l'ours (bear hold)
Corps : Boxe dans le vide
Corps : Planche
Retour au calme : Étirement de l'épaule, bras croisé</t>
  </si>
  <si>
    <t xml:space="preserve">rapide_epaules_2</t>
  </si>
  <si>
    <t xml:space="preserve">Épaules, intermédiaire</t>
  </si>
  <si>
    <t xml:space="preserve">Échauffement : Cercles de bras
Échauffement : Marche sur place, genoux hauts
Échauffement : Rotations du buste
Corps : Y, T, W au sol
Corps : Planche, touchers d'épaule
Corps : Pompe sur les genoux
Corps : Boxe dans le vide
Corps : Position de l'ours (bear hold)
Retour au calme : Étirement de l'épaule, bras croisé
Retour au calme : Chien tête en bas</t>
  </si>
  <si>
    <t xml:space="preserve">rapide_epaules_3</t>
  </si>
  <si>
    <t xml:space="preserve">Épaules, avancé</t>
  </si>
  <si>
    <t xml:space="preserve">Échauffement : Cercles de bras
Échauffement : Marche sur place, genoux hauts
Échauffement : Rotations du buste
Corps : Pompe en V (pike push-up)
Corps : Y, T, W au sol
Corps : Planche, touchers d'épaule
Corps : Marche de l'ours
Corps : Pompe
Corps : Boxe dans le vide
Retour au calme : Étirement de l'épaule, bras croisé
Retour au calme : Chien tête en bas</t>
  </si>
  <si>
    <t xml:space="preserve">rapide_dos_1</t>
  </si>
  <si>
    <t xml:space="preserve">Dos, débutant</t>
  </si>
  <si>
    <t xml:space="preserve">Échauffement : Chat-vache
Échauffement : Cercles de bras
Corps : Bird-dog
Corps : Superman
Corps : Pont fessier
Corps : Y, T, W au sol
Retour au calme : Posture de l'enfant</t>
  </si>
  <si>
    <t xml:space="preserve">rapide_dos_2</t>
  </si>
  <si>
    <t xml:space="preserve">Dos, intermédiaire</t>
  </si>
  <si>
    <t xml:space="preserve">Échauffement : Chat-vache
Échauffement : Cercles de bras
Échauffement : Rotations du buste
Corps : Superman
Corps : Y, T, W au sol
Corps : Bird-dog
Corps : Charnière de hanche (good morning) au poids du corps
Corps : Planche inversée
Retour au calme : Posture de l'enfant
Retour au calme : Sphinx</t>
  </si>
  <si>
    <t xml:space="preserve">rapide_dos_3</t>
  </si>
  <si>
    <t xml:space="preserve">Dos, avancé</t>
  </si>
  <si>
    <t xml:space="preserve">Échauffement : Chat-vache
Échauffement : Cercles de bras
Échauffement : Rotations du buste
Échauffement : Le plus grand étirement du monde
Corps : Superman
Corps : Y, T, W au sol
Corps : Planche inversée
Corps : Charnière de hanche (good morning) au poids du corps
Corps : Chenille (inchworm)
Corps : Bird-dog
Retour au calme : Posture de l'enfant
Retour au calme : Sphinx</t>
  </si>
  <si>
    <t xml:space="preserve">decouverte_yoga_matin</t>
  </si>
  <si>
    <t xml:space="preserve">Yoga du matin</t>
  </si>
  <si>
    <t xml:space="preserve">Découverte</t>
  </si>
  <si>
    <t xml:space="preserve">Une séquence douce pour réveiller le corps : salutation au soleil et postures debout.</t>
  </si>
  <si>
    <t xml:space="preserve">Corps : Posture de la montagne
Corps : Chat-vache
Corps : Salutation au soleil (version douce)
Corps : Posture de la chaise
Corps : Guerrier I
Corps : Guerrier II
Corps : Triangle
Corps : Arbre
Corps : Posture de l'enfant</t>
  </si>
  <si>
    <t xml:space="preserve">decouverte_etirements_soir</t>
  </si>
  <si>
    <t xml:space="preserve">Étirements du soir</t>
  </si>
  <si>
    <t xml:space="preserve">Relâcher les tensions de la journée avant de dormir, tout en douceur.</t>
  </si>
  <si>
    <t xml:space="preserve">Corps : Étirement latéral debout
Corps : Étirement des quadriceps debout
Corps : Sphinx
Corps : Genoux à la poitrine
Corps : Étirement des fessiers en « 4 »
Corps : Étirement des ischio-jambiers
Corps : Torsion allongée
Corps : Papillon
Corps : Respiration costale</t>
  </si>
  <si>
    <t xml:space="preserve">decouverte_meditation</t>
  </si>
  <si>
    <t xml:space="preserve">Méditation guidée</t>
  </si>
  <si>
    <t xml:space="preserve">Quelques minutes de respiration lente, puis d'attention au souffle.</t>
  </si>
  <si>
    <t xml:space="preserve">Corps : Respiration lente (6 cycles par minute)
Corps : Méditation : attention au souffle</t>
  </si>
  <si>
    <t xml:space="preserve">decouverte_gainage_express</t>
  </si>
  <si>
    <t xml:space="preserve">Gainage express</t>
  </si>
  <si>
    <t xml:space="preserve">Un gainage court et efficace, quand il ne reste que quelques minutes.</t>
  </si>
  <si>
    <t xml:space="preserve">Corps : Planche
Corps : Dead bug
Corps : Planche latérale
Corps : Bird-dog</t>
  </si>
  <si>
    <t xml:space="preserve">decouverte_detente_sommeil</t>
  </si>
  <si>
    <t xml:space="preserve">Détente avant le sommeil</t>
  </si>
  <si>
    <t xml:space="preserve">Jambes au mur, puis relaxation progressive pour préparer le sommeil.</t>
  </si>
  <si>
    <t xml:space="preserve">Corps : Jambes contre le mur
Corps : Relaxation musculaire progressive
Corps : Respiration lente (6 cycles par minute)</t>
  </si>
  <si>
    <t xml:space="preserve">decouverte_yoga_hanches</t>
  </si>
  <si>
    <t xml:space="preserve">Yoga des hanches</t>
  </si>
  <si>
    <t xml:space="preserve">Ouvrir les hanches après une journée assise.</t>
  </si>
  <si>
    <t xml:space="preserve">Corps : Chat-vache
Corps : Fente basse (posture du croissant)
Corps : Guerrier II
Corps : Pigeon (version au sol)
Corps : Papillon
Corps : Pince assise
Corps : Bébé heureux
Corps : Torsion allongée</t>
  </si>
  <si>
    <t xml:space="preserve">decouverte_scan_corporel</t>
  </si>
  <si>
    <t xml:space="preserve">Scan corporel</t>
  </si>
  <si>
    <t xml:space="preserve">Parcourir le corps de la tête aux pieds pour se poser.</t>
  </si>
  <si>
    <t xml:space="preserve">Corps : Respiration costale
Corps : Méditation : scan corporel</t>
  </si>
  <si>
    <t xml:space="preserve">express_reveil</t>
  </si>
  <si>
    <t xml:space="preserve">Réveil en 4 minutes</t>
  </si>
  <si>
    <t xml:space="preserve">Express (hors ligne)</t>
  </si>
  <si>
    <t xml:space="preserve">Mobilité du matin, sans quitter la chambre.</t>
  </si>
  <si>
    <t xml:space="preserve">Corps : Cercles de bras
Corps : Rotations du buste
Corps : Cercles de hanches
Corps : Chat-vache
Corps : Squat au poids du corps</t>
  </si>
  <si>
    <t xml:space="preserve">express_cardio</t>
  </si>
  <si>
    <t xml:space="preserve">Coup de boost cardio</t>
  </si>
  <si>
    <t xml:space="preserve">Quatre minutes pour se réchauffer, sans saut.</t>
  </si>
  <si>
    <t xml:space="preserve">Corps : Jumping jacks sans saut
Corps : Boxe dans le vide
Corps : Marche sur place, genoux hauts</t>
  </si>
  <si>
    <t xml:space="preserve">express_abdos</t>
  </si>
  <si>
    <t xml:space="preserve">Abdos express</t>
  </si>
  <si>
    <t xml:space="preserve">Quatre exercices de gainage enchaînés deux fois.</t>
  </si>
  <si>
    <t xml:space="preserve">Corps : Planche
Corps : Dead bug
Corps : Crunch
Corps : Planche latérale</t>
  </si>
  <si>
    <t xml:space="preserve">express_jambes</t>
  </si>
  <si>
    <t xml:space="preserve">Jambes express</t>
  </si>
  <si>
    <t xml:space="preserve">Squats, fentes et pont : l'essentiel des jambes.</t>
  </si>
  <si>
    <t xml:space="preserve">Corps : Squat au poids du corps
Corps : Fente arrière
Corps : Pont fessier
Corps : Montée sur pointes de pieds</t>
  </si>
  <si>
    <t xml:space="preserve">express_pause_bureau</t>
  </si>
  <si>
    <t xml:space="preserve">Pause bureau</t>
  </si>
  <si>
    <t xml:space="preserve">Dénouer la nuque, les épaules et le dos entre deux réunions.</t>
  </si>
  <si>
    <t xml:space="preserve">Corps : Menton rentré
Corps : Rapprochement des omoplates
Corps : Étirement des trapèzes
Corps : Étirement de l'épaule, bras croisé
Corps : Étirement latéral debout</t>
  </si>
  <si>
    <t xml:space="preserve">express_respiration</t>
  </si>
  <si>
    <t xml:space="preserve">Trois minutes pour respirer</t>
  </si>
  <si>
    <t xml:space="preserve">Respiration lente pour faire redescendre la pression.</t>
  </si>
  <si>
    <t xml:space="preserve">Corps : Respiration lente (6 cycles par minute)</t>
  </si>
  <si>
    <t xml:space="preserve">Programme</t>
  </si>
  <si>
    <t xml:space="preserve">Jour</t>
  </si>
  <si>
    <t xml:space="preserve">Semaine</t>
  </si>
  <si>
    <t xml:space="preserve">Entraînement</t>
  </si>
  <si>
    <t xml:space="preserve">Remise en forme</t>
  </si>
  <si>
    <t xml:space="preserve">Hanches et fessiers</t>
  </si>
  <si>
    <t xml:space="preserve">Gainage et calisthénie</t>
  </si>
  <si>
    <t xml:space="preserve">28 jours pour retrouver la forme : bas du corps, haut du corps et cardio doux en alternance, sans matériel et sans saut. Les séances passent de 10 à 25 minutes au fil des semaines.</t>
  </si>
  <si>
    <t xml:space="preserve">28 jours pour tonifier les fessiers et les jambes : ponts, fentes, travail de hanche et un peu de cardio, sans matériel et sans saut. De 10 à 25 minutes par séance.</t>
  </si>
  <si>
    <t xml:space="preserve">28 jours pour un tronc solide et les bases de la calisthénie : planches, dead bug, pompes et travail du dos au poids du corps. De 10 à 25 minutes par séance.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</si>
</sst>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b val="true"/>
      <sz val="11"/>
      <color rgb="FF000000"/>
      <name val="Arial"/>
      <family val="0"/>
      <charset val="1"/>
    </font>
    <font>
      <sz val="9"/>
      <name val="Arial"/>
      <family val="0"/>
      <charset val="1"/>
    </font>
    <font>
      <u val="single"/>
      <sz val="9"/>
      <color rgb="FF0563C1"/>
      <name val="Arial"/>
      <family val="0"/>
      <charset val="1"/>
    </font>
  </fonts>
  <fills count="5">
    <fill>
      <patternFill patternType="none"/>
    </fill>
    <fill>
      <patternFill patternType="gray125"/>
    </fill>
    <fill>
      <patternFill patternType="solid">
        <fgColor rgb="FFFFF2A8"/>
        <bgColor rgb="FFE8F0E0"/>
      </patternFill>
    </fill>
    <fill>
      <patternFill patternType="solid">
        <fgColor rgb="FFE8F0E0"/>
        <bgColor rgb="FFFFFFFF"/>
      </patternFill>
    </fill>
    <fill>
      <patternFill patternType="solid">
        <fgColor rgb="FF1F3A5F"/>
        <bgColor rgb="FF33333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2A8"/>
          <bgColor rgb="FF000000"/>
        </patternFill>
      </fill>
    </dxf>
    <dxf>
      <fill>
        <patternFill patternType="solid">
          <fgColor rgb="FF0000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8F0E0"/>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youtube.com/watch?v=EMfbjJWIllU" TargetMode="External"/><Relationship Id="rId2" Type="http://schemas.openxmlformats.org/officeDocument/2006/relationships/hyperlink" Target="https://www.youtube.com/watch?v=xnvkQeZ_XaE" TargetMode="External"/><Relationship Id="rId3" Type="http://schemas.openxmlformats.org/officeDocument/2006/relationships/hyperlink" Target="https://www.youtube.com/watch?v=-NuqBMIgrcc" TargetMode="External"/><Relationship Id="rId4" Type="http://schemas.openxmlformats.org/officeDocument/2006/relationships/hyperlink" Target="https://www.youtube.com/watch?v=HH9FQpjXw7A" TargetMode="External"/><Relationship Id="rId5" Type="http://schemas.openxmlformats.org/officeDocument/2006/relationships/hyperlink" Target="https://www.youtube.com/watch?v=Zz8DrsAUIZo" TargetMode="External"/><Relationship Id="rId6" Type="http://schemas.openxmlformats.org/officeDocument/2006/relationships/hyperlink" Target="https://www.youtube.com/watch?v=3EvkUQHvFkI" TargetMode="External"/><Relationship Id="rId7" Type="http://schemas.openxmlformats.org/officeDocument/2006/relationships/hyperlink" Target="https://www.youtube.com/watch?v=M1xhRlf8poM" TargetMode="External"/><Relationship Id="rId8" Type="http://schemas.openxmlformats.org/officeDocument/2006/relationships/hyperlink" Target="https://www.youtube.com/watch?v=43qFZebHGj8" TargetMode="External"/><Relationship Id="rId9" Type="http://schemas.openxmlformats.org/officeDocument/2006/relationships/hyperlink" Target="https://www.youtube.com/watch?v=34xR5kn02xY" TargetMode="External"/><Relationship Id="rId10" Type="http://schemas.openxmlformats.org/officeDocument/2006/relationships/hyperlink" Target="https://www.youtube.com/watch?v=vElEKAdulIE" TargetMode="External"/><Relationship Id="rId11" Type="http://schemas.openxmlformats.org/officeDocument/2006/relationships/hyperlink" Target="https://www.youtube.com/watch?v=6yoip-ClM34" TargetMode="External"/><Relationship Id="rId12" Type="http://schemas.openxmlformats.org/officeDocument/2006/relationships/hyperlink" Target="https://www.youtube.com/watch?v=9ylRcYLSz40" TargetMode="External"/><Relationship Id="rId13" Type="http://schemas.openxmlformats.org/officeDocument/2006/relationships/hyperlink" Target="https://www.youtube.com/watch?v=hyBx3QViCw8" TargetMode="External"/><Relationship Id="rId14" Type="http://schemas.openxmlformats.org/officeDocument/2006/relationships/hyperlink" Target="https://www.youtube.com/watch?v=QNPVhVsJS2A" TargetMode="External"/><Relationship Id="rId15" Type="http://schemas.openxmlformats.org/officeDocument/2006/relationships/hyperlink" Target="https://www.youtube.com/watch?v=jGUplusFlEY" TargetMode="External"/><Relationship Id="rId16" Type="http://schemas.openxmlformats.org/officeDocument/2006/relationships/hyperlink" Target="https://www.youtube.com/watch?v=3EiBfcTLZDE" TargetMode="External"/><Relationship Id="rId17" Type="http://schemas.openxmlformats.org/officeDocument/2006/relationships/hyperlink" Target="https://www.youtube.com/watch?v=8-invS7-Ugo" TargetMode="External"/><Relationship Id="rId18" Type="http://schemas.openxmlformats.org/officeDocument/2006/relationships/hyperlink" Target="https://www.youtube.com/watch?v=STa-MCOn3xM" TargetMode="External"/><Relationship Id="rId19" Type="http://schemas.openxmlformats.org/officeDocument/2006/relationships/hyperlink" Target="https://www.youtube.com/watch?v=emhF1efZ-38" TargetMode="External"/><Relationship Id="rId20" Type="http://schemas.openxmlformats.org/officeDocument/2006/relationships/hyperlink" Target="https://www.youtube.com/watch?v=pH9hQDirfog" TargetMode="External"/><Relationship Id="rId21" Type="http://schemas.openxmlformats.org/officeDocument/2006/relationships/hyperlink" Target="https://www.youtube.com/watch?v=SWUw2epT8P4" TargetMode="External"/><Relationship Id="rId22" Type="http://schemas.openxmlformats.org/officeDocument/2006/relationships/hyperlink" Target="https://www.youtube.com/watch?v=V9TUK5IdRrY" TargetMode="External"/><Relationship Id="rId23" Type="http://schemas.openxmlformats.org/officeDocument/2006/relationships/hyperlink" Target="https://www.youtube.com/watch?v=FvnPL4cYUQk" TargetMode="External"/><Relationship Id="rId24" Type="http://schemas.openxmlformats.org/officeDocument/2006/relationships/hyperlink" Target="https://www.youtube.com/watch?v=NrkGYnsgbOA" TargetMode="External"/><Relationship Id="rId25" Type="http://schemas.openxmlformats.org/officeDocument/2006/relationships/hyperlink" Target="https://www.youtube.com/watch?v=hIB3YWZk834" TargetMode="External"/><Relationship Id="rId26" Type="http://schemas.openxmlformats.org/officeDocument/2006/relationships/hyperlink" Target="https://www.youtube.com/watch?v=VLzDhlGdpS0" TargetMode="External"/><Relationship Id="rId27" Type="http://schemas.openxmlformats.org/officeDocument/2006/relationships/hyperlink" Target="https://www.youtube.com/watch?v=CE9KiCPFw0E" TargetMode="External"/><Relationship Id="rId28" Type="http://schemas.openxmlformats.org/officeDocument/2006/relationships/hyperlink" Target="https://www.youtube.com/watch?v=CsZSbMuqDYw" TargetMode="External"/><Relationship Id="rId29" Type="http://schemas.openxmlformats.org/officeDocument/2006/relationships/hyperlink" Target="https://www.youtube.com/watch?v=Reitru3_Srk" TargetMode="External"/><Relationship Id="rId30" Type="http://schemas.openxmlformats.org/officeDocument/2006/relationships/hyperlink" Target="https://www.youtube.com/watch?v=mzbY2Vd0Mts" TargetMode="External"/><Relationship Id="rId31" Type="http://schemas.openxmlformats.org/officeDocument/2006/relationships/hyperlink" Target="https://www.youtube.com/watch?v=WVfLGkuhHHU" TargetMode="External"/><Relationship Id="rId32" Type="http://schemas.openxmlformats.org/officeDocument/2006/relationships/hyperlink" Target="https://www.youtube.com/watch?v=8rSNwrdPgN4" TargetMode="External"/><Relationship Id="rId33" Type="http://schemas.openxmlformats.org/officeDocument/2006/relationships/hyperlink" Target="https://www.youtube.com/watch?v=Y28EDAb2ASY" TargetMode="External"/><Relationship Id="rId34" Type="http://schemas.openxmlformats.org/officeDocument/2006/relationships/hyperlink" Target="https://www.youtube.com/watch?v=O-DOcsnwAQY" TargetMode="External"/><Relationship Id="rId35" Type="http://schemas.openxmlformats.org/officeDocument/2006/relationships/hyperlink" Target="https://www.youtube.com/watch?v=G0nPXt_TgRg" TargetMode="External"/><Relationship Id="rId36" Type="http://schemas.openxmlformats.org/officeDocument/2006/relationships/hyperlink" Target="https://www.youtube.com/watch?v=lcsEJQAbdiw" TargetMode="External"/><Relationship Id="rId37" Type="http://schemas.openxmlformats.org/officeDocument/2006/relationships/hyperlink" Target="https://www.youtube.com/watch?v=LEb7Juw9tMo" TargetMode="External"/><Relationship Id="rId38" Type="http://schemas.openxmlformats.org/officeDocument/2006/relationships/hyperlink" Target="https://www.youtube.com/watch?v=0bq05pA3bkA" TargetMode="External"/><Relationship Id="rId39" Type="http://schemas.openxmlformats.org/officeDocument/2006/relationships/hyperlink" Target="https://www.youtube.com/watch?v=rsX2MJPzXrE" TargetMode="External"/><Relationship Id="rId40" Type="http://schemas.openxmlformats.org/officeDocument/2006/relationships/hyperlink" Target="https://www.youtube.com/watch?v=RNgWIsjj5U8" TargetMode="External"/><Relationship Id="rId41" Type="http://schemas.openxmlformats.org/officeDocument/2006/relationships/hyperlink" Target="https://www.youtube.com/watch?v=a8Y_-YCnaUg" TargetMode="External"/><Relationship Id="rId42" Type="http://schemas.openxmlformats.org/officeDocument/2006/relationships/hyperlink" Target="https://www.youtube.com/watch?v=yocM348hYfE" TargetMode="External"/><Relationship Id="rId43" Type="http://schemas.openxmlformats.org/officeDocument/2006/relationships/hyperlink" Target="https://www.youtube.com/watch?v=RdUUAlWz1Qk" TargetMode="External"/><Relationship Id="rId44" Type="http://schemas.openxmlformats.org/officeDocument/2006/relationships/hyperlink" Target="https://www.youtube.com/watch?v=G5i11cyxSL4" TargetMode="External"/><Relationship Id="rId45" Type="http://schemas.openxmlformats.org/officeDocument/2006/relationships/hyperlink" Target="https://www.youtube.com/watch?v=S1FlmYy31jQ" TargetMode="External"/><Relationship Id="rId46" Type="http://schemas.openxmlformats.org/officeDocument/2006/relationships/hyperlink" Target="https://www.youtube.com/watch?v=9rQvKBRBHhg" TargetMode="External"/><Relationship Id="rId47" Type="http://schemas.openxmlformats.org/officeDocument/2006/relationships/hyperlink" Target="https://www.youtube.com/watch?v=d3B2ed1qI0o" TargetMode="External"/><Relationship Id="rId48" Type="http://schemas.openxmlformats.org/officeDocument/2006/relationships/hyperlink" Target="https://www.youtube.com/watch?v=GkTNfd8zFPs" TargetMode="External"/><Relationship Id="rId49" Type="http://schemas.openxmlformats.org/officeDocument/2006/relationships/hyperlink" Target="https://www.youtube.com/watch?v=OXte6nIofiM" TargetMode="External"/><Relationship Id="rId50" Type="http://schemas.openxmlformats.org/officeDocument/2006/relationships/hyperlink" Target="https://www.youtube.com/watch?v=D51oisjL-aE" TargetMode="External"/><Relationship Id="rId51" Type="http://schemas.openxmlformats.org/officeDocument/2006/relationships/hyperlink" Target="https://www.youtube.com/watch?v=zeAm-lP_Ha0" TargetMode="External"/><Relationship Id="rId52" Type="http://schemas.openxmlformats.org/officeDocument/2006/relationships/hyperlink" Target="https://www.youtube.com/watch?v=D_4Vcp2d9_I" TargetMode="External"/><Relationship Id="rId53" Type="http://schemas.openxmlformats.org/officeDocument/2006/relationships/hyperlink" Target="https://www.youtube.com/watch?v=QilgMPG7OaA" TargetMode="External"/><Relationship Id="rId54" Type="http://schemas.openxmlformats.org/officeDocument/2006/relationships/hyperlink" Target="https://www.youtube.com/watch?v=doj3IIyhwvs" TargetMode="External"/><Relationship Id="rId55" Type="http://schemas.openxmlformats.org/officeDocument/2006/relationships/hyperlink" Target="https://www.youtube.com/watch?v=bQeSUBjOlN8" TargetMode="External"/><Relationship Id="rId56" Type="http://schemas.openxmlformats.org/officeDocument/2006/relationships/hyperlink" Target="https://www.youtube.com/watch?v=gadl7yD6Img" TargetMode="External"/><Relationship Id="rId57" Type="http://schemas.openxmlformats.org/officeDocument/2006/relationships/hyperlink" Target="https://www.youtube.com/watch?v=rtEJyD8fweo" TargetMode="External"/><Relationship Id="rId58" Type="http://schemas.openxmlformats.org/officeDocument/2006/relationships/hyperlink" Target="https://www.youtube.com/watch?v=2EyH9MN7hYE" TargetMode="External"/><Relationship Id="rId59" Type="http://schemas.openxmlformats.org/officeDocument/2006/relationships/hyperlink" Target="https://www.youtube.com/watch?v=FGjCiK4alq4" TargetMode="External"/><Relationship Id="rId60" Type="http://schemas.openxmlformats.org/officeDocument/2006/relationships/hyperlink" Target="https://www.youtube.com/watch?v=9i4YcNHiKbU" TargetMode="External"/><Relationship Id="rId61" Type="http://schemas.openxmlformats.org/officeDocument/2006/relationships/hyperlink" Target="https://www.youtube.com/watch?v=kefNHIKaNkU" TargetMode="External"/><Relationship Id="rId62" Type="http://schemas.openxmlformats.org/officeDocument/2006/relationships/hyperlink" Target="https://www.youtube.com/watch?v=RsVbI852C-o" TargetMode="External"/><Relationship Id="rId63" Type="http://schemas.openxmlformats.org/officeDocument/2006/relationships/hyperlink" Target="https://www.youtube.com/watch?v=XFknECYblwQ" TargetMode="External"/><Relationship Id="rId64" Type="http://schemas.openxmlformats.org/officeDocument/2006/relationships/hyperlink" Target="https://www.youtube.com/watch?v=Swf_f7SHdUI" TargetMode="External"/><Relationship Id="rId65" Type="http://schemas.openxmlformats.org/officeDocument/2006/relationships/hyperlink" Target="https://www.youtube.com/watch?v=4_Sjotzszx4" TargetMode="External"/><Relationship Id="rId66" Type="http://schemas.openxmlformats.org/officeDocument/2006/relationships/hyperlink" Target="https://www.youtube.com/watch?v=9_jLW6VkU8A" TargetMode="External"/><Relationship Id="rId67" Type="http://schemas.openxmlformats.org/officeDocument/2006/relationships/hyperlink" Target="https://www.youtube.com/watch?v=4YPWd8z090A" TargetMode="External"/><Relationship Id="rId68" Type="http://schemas.openxmlformats.org/officeDocument/2006/relationships/hyperlink" Target="https://www.youtube.com/watch?v=gXv9T1flQhU" TargetMode="External"/><Relationship Id="rId69" Type="http://schemas.openxmlformats.org/officeDocument/2006/relationships/hyperlink" Target="https://www.youtube.com/watch?v=2Qg1Mt-LVSI" TargetMode="External"/><Relationship Id="rId70" Type="http://schemas.openxmlformats.org/officeDocument/2006/relationships/hyperlink" Target="https://www.youtube.com/watch?v=NkbiKuADX_M" TargetMode="External"/><Relationship Id="rId71" Type="http://schemas.openxmlformats.org/officeDocument/2006/relationships/hyperlink" Target="https://www.youtube.com/watch?v=goaXpTMg3QI" TargetMode="External"/><Relationship Id="rId72" Type="http://schemas.openxmlformats.org/officeDocument/2006/relationships/hyperlink" Target="https://www.youtube.com/watch?v=VcpoDKlvEkk" TargetMode="External"/><Relationship Id="rId73" Type="http://schemas.openxmlformats.org/officeDocument/2006/relationships/hyperlink" Target="https://www.youtube.com/watch?v=_JWHy86izcw" TargetMode="External"/><Relationship Id="rId74" Type="http://schemas.openxmlformats.org/officeDocument/2006/relationships/hyperlink" Target="https://www.youtube.com/watch?v=I4NlqG57l4Q" TargetMode="External"/><Relationship Id="rId75" Type="http://schemas.openxmlformats.org/officeDocument/2006/relationships/hyperlink" Target="https://www.youtube.com/watch?v=_vfHhERqpbI" TargetMode="External"/><Relationship Id="rId76" Type="http://schemas.openxmlformats.org/officeDocument/2006/relationships/hyperlink" Target="https://www.youtube.com/watch?v=ve_cJNhiQVA" TargetMode="External"/><Relationship Id="rId77" Type="http://schemas.openxmlformats.org/officeDocument/2006/relationships/hyperlink" Target="https://www.youtube.com/watch?v=sFprTU_r38o" TargetMode="External"/><Relationship Id="rId78" Type="http://schemas.openxmlformats.org/officeDocument/2006/relationships/hyperlink" Target="https://www.youtube.com/watch?v=Ei4a7kDbdlg" TargetMode="External"/><Relationship Id="rId79" Type="http://schemas.openxmlformats.org/officeDocument/2006/relationships/hyperlink" Target="https://www.youtube.com/watch?v=RGYgiC9319o" TargetMode="External"/><Relationship Id="rId80" Type="http://schemas.openxmlformats.org/officeDocument/2006/relationships/hyperlink" Target="https://www.youtube.com/watch?v=GjRvu1tYP7E" TargetMode="External"/><Relationship Id="rId81" Type="http://schemas.openxmlformats.org/officeDocument/2006/relationships/hyperlink" Target="https://www.youtube.com/watch?v=FSv689Hk49o" TargetMode="External"/><Relationship Id="rId82" Type="http://schemas.openxmlformats.org/officeDocument/2006/relationships/hyperlink" Target="https://www.youtube.com/watch?v=rtfWanShIsc" TargetMode="External"/><Relationship Id="rId83" Type="http://schemas.openxmlformats.org/officeDocument/2006/relationships/hyperlink" Target="https://www.youtube.com/watch?v=zc1zqcH52yY" TargetMode="External"/><Relationship Id="rId84" Type="http://schemas.openxmlformats.org/officeDocument/2006/relationships/hyperlink" Target="https://www.youtube.com/watch?v=t8KXifZclxM" TargetMode="External"/><Relationship Id="rId85" Type="http://schemas.openxmlformats.org/officeDocument/2006/relationships/hyperlink" Target="https://www.youtube.com/watch?v=h3anl2PgCHA" TargetMode="External"/><Relationship Id="rId86" Type="http://schemas.openxmlformats.org/officeDocument/2006/relationships/hyperlink" Target="https://www.youtube.com/watch?v=A5wGqQ21l2o" TargetMode="External"/><Relationship Id="rId87" Type="http://schemas.openxmlformats.org/officeDocument/2006/relationships/hyperlink" Target="https://www.youtube.com/watch?v=YqNO0ImMtEY" TargetMode="External"/><Relationship Id="rId88" Type="http://schemas.openxmlformats.org/officeDocument/2006/relationships/hyperlink" Target="https://www.youtube.com/watch?v=53WnXeu_Yuw" TargetMode="External"/><Relationship Id="rId89" Type="http://schemas.openxmlformats.org/officeDocument/2006/relationships/hyperlink" Target="https://www.youtube.com/watch?v=O5lSF1AgAqs" TargetMode="External"/><Relationship Id="rId90" Type="http://schemas.openxmlformats.org/officeDocument/2006/relationships/hyperlink" Target="https://www.youtube.com/watch?v=cvCPeN6XjHs" TargetMode="External"/><Relationship Id="rId91" Type="http://schemas.openxmlformats.org/officeDocument/2006/relationships/hyperlink" Target="https://www.youtube.com/watch?v=1FqB-qyeKAE" TargetMode="External"/><Relationship Id="rId92" Type="http://schemas.openxmlformats.org/officeDocument/2006/relationships/hyperlink" Target="https://www.youtube.com/watch?v=aXd7u9MoI7E" TargetMode="External"/><Relationship Id="rId93" Type="http://schemas.openxmlformats.org/officeDocument/2006/relationships/hyperlink" Target="https://www.youtube.com/watch?v=4c5oLJxm2Nk" TargetMode="External"/><Relationship Id="rId94" Type="http://schemas.openxmlformats.org/officeDocument/2006/relationships/hyperlink" Target="https://www.youtube.com/watch?v=ML6zsqBPmPg" TargetMode="External"/><Relationship Id="rId95" Type="http://schemas.openxmlformats.org/officeDocument/2006/relationships/hyperlink" Target="https://www.youtube.com/watch?v=mlUh1XQikKM" TargetMode="External"/><Relationship Id="rId96" Type="http://schemas.openxmlformats.org/officeDocument/2006/relationships/hyperlink" Target="https://www.youtube.com/watch?v=V8nA6t_r8JM" TargetMode="External"/><Relationship Id="rId97" Type="http://schemas.openxmlformats.org/officeDocument/2006/relationships/hyperlink" Target="https://www.youtube.com/watch?v=gsp1AZcEn54" TargetMode="External"/><Relationship Id="rId98" Type="http://schemas.openxmlformats.org/officeDocument/2006/relationships/hyperlink" Target="https://www.youtube.com/watch?v=KCiEleLODc8" TargetMode="External"/><Relationship Id="rId99" Type="http://schemas.openxmlformats.org/officeDocument/2006/relationships/hyperlink" Target="https://www.youtube.com/watch?v=vs_8iqpGoEM" TargetMode="External"/><Relationship Id="rId100" Type="http://schemas.openxmlformats.org/officeDocument/2006/relationships/hyperlink" Target="https://www.youtube.com/watch?v=O6NKXExzkww" TargetMode="External"/><Relationship Id="rId101" Type="http://schemas.openxmlformats.org/officeDocument/2006/relationships/hyperlink" Target="https://www.youtube.com/watch?v=VBSelbkOELA" TargetMode="External"/><Relationship Id="rId102" Type="http://schemas.openxmlformats.org/officeDocument/2006/relationships/hyperlink" Target="https://www.youtube.com/watch?v=1WAXGcKi9i8" TargetMode="External"/><Relationship Id="rId103" Type="http://schemas.openxmlformats.org/officeDocument/2006/relationships/hyperlink" Target="https://www.youtube.com/watch?v=2KSp2uQsEH8" TargetMode="External"/><Relationship Id="rId104" Type="http://schemas.openxmlformats.org/officeDocument/2006/relationships/hyperlink" Target="https://www.youtube.com/watch?v=mYdXe92a_EM" TargetMode="External"/><Relationship Id="rId105" Type="http://schemas.openxmlformats.org/officeDocument/2006/relationships/hyperlink" Target="https://www.youtube.com/watch?v=MSJzslGuutU" TargetMode="External"/><Relationship Id="rId106" Type="http://schemas.openxmlformats.org/officeDocument/2006/relationships/hyperlink" Target="https://www.youtube.com/watch?v=I4SKLCM9lyo" TargetMode="External"/><Relationship Id="rId107" Type="http://schemas.openxmlformats.org/officeDocument/2006/relationships/hyperlink" Target="https://www.youtube.com/watch?v=bG17b4f_4bg" TargetMode="External"/><Relationship Id="rId108" Type="http://schemas.openxmlformats.org/officeDocument/2006/relationships/hyperlink" Target="https://www.youtube.com/watch?v=l2DXJoi0WYE" TargetMode="External"/><Relationship Id="rId109" Type="http://schemas.openxmlformats.org/officeDocument/2006/relationships/hyperlink" Target="https://www.youtube.com/watch?v=ARCrsCnSB-k" TargetMode="External"/><Relationship Id="rId110" Type="http://schemas.openxmlformats.org/officeDocument/2006/relationships/hyperlink" Target="https://www.youtube.com/watch?v=bAiHLkX0iWo" TargetMode="External"/><Relationship Id="rId111" Type="http://schemas.openxmlformats.org/officeDocument/2006/relationships/hyperlink" Target="https://www.youtube.com/watch?v=9Wma4mC8wpw" TargetMode="External"/><Relationship Id="rId112" Type="http://schemas.openxmlformats.org/officeDocument/2006/relationships/hyperlink" Target="https://www.youtube.com/watch?v=mZ23K1ulW2A" TargetMode="External"/><Relationship Id="rId113" Type="http://schemas.openxmlformats.org/officeDocument/2006/relationships/hyperlink" Target="https://www.youtube.com/watch?v=xwTFt_yWEkI" TargetMode="External"/><Relationship Id="rId114" Type="http://schemas.openxmlformats.org/officeDocument/2006/relationships/hyperlink" Target="https://www.youtube.com/watch?v=_H9lCamSHR0" TargetMode="External"/><Relationship Id="rId115" Type="http://schemas.openxmlformats.org/officeDocument/2006/relationships/hyperlink" Target="https://www.youtube.com/watch?v=3Bb4ytM0ARA" TargetMode="External"/><Relationship Id="rId116" Type="http://schemas.openxmlformats.org/officeDocument/2006/relationships/hyperlink" Target="https://www.youtube.com/watch?v=IEN7fe43K4o" TargetMode="External"/><Relationship Id="rId117" Type="http://schemas.openxmlformats.org/officeDocument/2006/relationships/hyperlink" Target="https://www.youtube.com/watch?v=Sf0h4chQzis" TargetMode="External"/><Relationship Id="rId118" Type="http://schemas.openxmlformats.org/officeDocument/2006/relationships/hyperlink" Target="https://www.youtube.com/watch?v=pdI4HS138tc" TargetMode="External"/><Relationship Id="rId119" Type="http://schemas.openxmlformats.org/officeDocument/2006/relationships/hyperlink" Target="https://www.youtube.com/watch?v=K8TMa3-E2Is" TargetMode="External"/><Relationship Id="rId120" Type="http://schemas.openxmlformats.org/officeDocument/2006/relationships/hyperlink" Target="https://www.youtube.com/watch?v=4ZqOMX-18O0" TargetMode="External"/><Relationship Id="rId121" Type="http://schemas.openxmlformats.org/officeDocument/2006/relationships/hyperlink" Target="https://www.youtube.com/watch?v=tQYo15dpKdM" TargetMode="External"/><Relationship Id="rId122" Type="http://schemas.openxmlformats.org/officeDocument/2006/relationships/hyperlink" Target="https://www.youtube.com/watch?v=6pIDnFHUK8E" TargetMode="External"/><Relationship Id="rId123" Type="http://schemas.openxmlformats.org/officeDocument/2006/relationships/hyperlink" Target="https://www.youtube.com/watch?v=vfoWMKhx4v4" TargetMode="External"/><Relationship Id="rId124" Type="http://schemas.openxmlformats.org/officeDocument/2006/relationships/hyperlink" Target="https://www.youtube.com/watch?v=8kGL8IghPbo" TargetMode="External"/><Relationship Id="rId125" Type="http://schemas.openxmlformats.org/officeDocument/2006/relationships/hyperlink" Target="https://www.youtube.com/watch?v=5M6zv6hGskQ" TargetMode="External"/><Relationship Id="rId126" Type="http://schemas.openxmlformats.org/officeDocument/2006/relationships/hyperlink" Target="https://www.youtube.com/watch?v=WTZQYMpSNJk" TargetMode="External"/><Relationship Id="rId127" Type="http://schemas.openxmlformats.org/officeDocument/2006/relationships/hyperlink" Target="https://www.youtube.com/watch?v=_tvE9m9kkxM" TargetMode="External"/><Relationship Id="rId128" Type="http://schemas.openxmlformats.org/officeDocument/2006/relationships/hyperlink" Target="https://www.youtube.com/watch?v=zzNI5vxssTI" TargetMode="External"/><Relationship Id="rId129" Type="http://schemas.openxmlformats.org/officeDocument/2006/relationships/hyperlink" Target="https://www.youtube.com/watch?v=6-anByqnKp8" TargetMode="External"/><Relationship Id="rId130" Type="http://schemas.openxmlformats.org/officeDocument/2006/relationships/hyperlink" Target="https://www.youtube.com/watch?v=jLcQfXPMHXY" TargetMode="External"/><Relationship Id="rId131" Type="http://schemas.openxmlformats.org/officeDocument/2006/relationships/hyperlink" Target="https://www.youtube.com/watch?v=LpBNsIv2olo" TargetMode="External"/><Relationship Id="rId132" Type="http://schemas.openxmlformats.org/officeDocument/2006/relationships/hyperlink" Target="https://www.youtube.com/watch?v=OcYrtl3ZAMs" TargetMode="External"/><Relationship Id="rId133" Type="http://schemas.openxmlformats.org/officeDocument/2006/relationships/hyperlink" Target="https://www.youtube.com/watch?v=i-hVYySziaU" TargetMode="External"/><Relationship Id="rId134" Type="http://schemas.openxmlformats.org/officeDocument/2006/relationships/hyperlink" Target="https://www.youtube.com/watch?v=zUP5qcl9AeA" TargetMode="External"/><Relationship Id="rId135" Type="http://schemas.openxmlformats.org/officeDocument/2006/relationships/hyperlink" Target="https://www.youtube.com/watch?v=zz9D2QulpBs" TargetMode="External"/><Relationship Id="rId136" Type="http://schemas.openxmlformats.org/officeDocument/2006/relationships/hyperlink" Target="https://www.youtube.com/watch?v=L2QhFSJ-Jb4" TargetMode="External"/><Relationship Id="rId137" Type="http://schemas.openxmlformats.org/officeDocument/2006/relationships/hyperlink" Target="https://www.youtube.com/watch?v=IH3w7O5UWKU" TargetMode="External"/><Relationship Id="rId138" Type="http://schemas.openxmlformats.org/officeDocument/2006/relationships/hyperlink" Target="https://www.youtube.com/watch?v=0e4oPtPbqvQ" TargetMode="External"/><Relationship Id="rId139" Type="http://schemas.openxmlformats.org/officeDocument/2006/relationships/hyperlink" Target="https://www.youtube.com/watch?v=7IytTOalmio" TargetMode="External"/><Relationship Id="rId140" Type="http://schemas.openxmlformats.org/officeDocument/2006/relationships/hyperlink" Target="https://www.youtube.com/watch?v=5R4D6zaokL0" TargetMode="External"/><Relationship Id="rId141" Type="http://schemas.openxmlformats.org/officeDocument/2006/relationships/hyperlink" Target="https://www.youtube.com/watch?v=6yF-VaStT_E" TargetMode="External"/><Relationship Id="rId142" Type="http://schemas.openxmlformats.org/officeDocument/2006/relationships/hyperlink" Target="https://www.youtube.com/watch?v=-GUGUNyJv1U" TargetMode="External"/><Relationship Id="rId143" Type="http://schemas.openxmlformats.org/officeDocument/2006/relationships/hyperlink" Target="https://www.youtube.com/watch?v=5-3LkHIlWzM" TargetMode="External"/><Relationship Id="rId144" Type="http://schemas.openxmlformats.org/officeDocument/2006/relationships/hyperlink" Target="https://www.youtube.com/watch?v=YXbHh4rlQGE" TargetMode="External"/><Relationship Id="rId145" Type="http://schemas.openxmlformats.org/officeDocument/2006/relationships/hyperlink" Target="https://www.youtube.com/watch?v=rDviWORCWEw" TargetMode="External"/><Relationship Id="rId146" Type="http://schemas.openxmlformats.org/officeDocument/2006/relationships/hyperlink" Target="https://www.youtube.com/watch?v=_tz9WGVH25g" TargetMode="External"/><Relationship Id="rId14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0</v>
      </c>
      <c r="B1" s="2"/>
      <c r="C1" s="2"/>
    </row>
    <row r="2" customFormat="false" ht="23.85" hidden="false" customHeight="false" outlineLevel="0" collapsed="false">
      <c r="A2" s="2" t="s">
        <v>1</v>
      </c>
      <c r="B2" s="2"/>
      <c r="C2" s="2"/>
    </row>
    <row r="3" customFormat="false" ht="15" hidden="false" customHeight="false" outlineLevel="0" collapsed="false">
      <c r="A3" s="2"/>
      <c r="B3" s="2"/>
      <c r="C3" s="2"/>
    </row>
    <row r="4" customFormat="false" ht="15" hidden="false" customHeight="false" outlineLevel="0" collapsed="false">
      <c r="A4" s="3" t="s">
        <v>2</v>
      </c>
      <c r="B4" s="2"/>
      <c r="C4" s="2"/>
    </row>
    <row r="5" customFormat="false" ht="23.85" hidden="false" customHeight="false" outlineLevel="0" collapsed="false">
      <c r="A5" s="4" t="s">
        <v>3</v>
      </c>
      <c r="B5" s="2" t="s">
        <v>4</v>
      </c>
      <c r="C5" s="2" t="s">
        <v>5</v>
      </c>
    </row>
    <row r="6" customFormat="false" ht="15" hidden="false" customHeight="false" outlineLevel="0" collapsed="false">
      <c r="A6" s="4" t="s">
        <v>6</v>
      </c>
      <c r="B6" s="2" t="s">
        <v>7</v>
      </c>
      <c r="C6" s="2" t="s">
        <v>8</v>
      </c>
    </row>
    <row r="7" customFormat="false" ht="15" hidden="false" customHeight="false" outlineLevel="0" collapsed="false">
      <c r="A7" s="4" t="s">
        <v>9</v>
      </c>
      <c r="B7" s="2" t="s">
        <v>10</v>
      </c>
      <c r="C7" s="2" t="s">
        <v>11</v>
      </c>
    </row>
    <row r="8" customFormat="false" ht="23.85" hidden="false" customHeight="false" outlineLevel="0" collapsed="false">
      <c r="A8" s="5" t="s">
        <v>12</v>
      </c>
      <c r="B8" s="5" t="s">
        <v>13</v>
      </c>
      <c r="C8" s="5" t="s">
        <v>14</v>
      </c>
    </row>
    <row r="9" customFormat="false" ht="15" hidden="false" customHeight="false" outlineLevel="0" collapsed="false">
      <c r="A9" s="2"/>
      <c r="B9" s="2"/>
      <c r="C9" s="2"/>
    </row>
    <row r="10" customFormat="false" ht="15" hidden="false" customHeight="false" outlineLevel="0" collapsed="false">
      <c r="A10" s="3" t="s">
        <v>15</v>
      </c>
      <c r="B10" s="2" t="s">
        <v>16</v>
      </c>
      <c r="C10" s="2"/>
    </row>
    <row r="11" customFormat="false" ht="15" hidden="false" customHeight="false" outlineLevel="0" collapsed="false">
      <c r="A11" s="6" t="s">
        <v>17</v>
      </c>
      <c r="B11" s="7" t="n">
        <f aca="false">COUNTA(Exercices!A2:A147)</f>
        <v>146</v>
      </c>
    </row>
    <row r="12" customFormat="false" ht="15" hidden="false" customHeight="false" outlineLevel="0" collapsed="false">
      <c r="A12" s="6" t="s">
        <v>18</v>
      </c>
      <c r="B12" s="7" t="n">
        <f aca="false">COUNTIF(Exercices!C2:C147,"Nouveau")</f>
        <v>103</v>
      </c>
    </row>
    <row r="13" customFormat="false" ht="15" hidden="false" customHeight="false" outlineLevel="0" collapsed="false">
      <c r="A13" s="6" t="s">
        <v>19</v>
      </c>
      <c r="B13" s="7" t="n">
        <f aca="false">COUNTIF(Exercices!D2:D147,"oui")</f>
        <v>0</v>
      </c>
    </row>
    <row r="14" customFormat="false" ht="15" hidden="false" customHeight="false" outlineLevel="0" collapsed="false">
      <c r="A14" s="6" t="s">
        <v>20</v>
      </c>
      <c r="B14" s="7" t="n">
        <f aca="false">COUNTIF(Exercices!D2:D147,"à revoir")</f>
        <v>0</v>
      </c>
    </row>
    <row r="15" customFormat="false" ht="15" hidden="false" customHeight="false" outlineLevel="0" collapsed="false">
      <c r="A15" s="6" t="s">
        <v>21</v>
      </c>
      <c r="B15" s="7" t="n">
        <f aca="false">COUNTIF(Exercices!E2:E147,"non")</f>
        <v>0</v>
      </c>
    </row>
    <row r="16" customFormat="false" ht="15" hidden="false" customHeight="false" outlineLevel="0" collapsed="false">
      <c r="A16" s="6" t="s">
        <v>22</v>
      </c>
      <c r="B16" s="7" t="n">
        <f aca="false">COUNTA(Entraînements!A2:A76)</f>
        <v>75</v>
      </c>
    </row>
    <row r="17" customFormat="false" ht="15" hidden="false" customHeight="false" outlineLevel="0" collapsed="false">
      <c r="A17" s="6" t="s">
        <v>23</v>
      </c>
      <c r="B17" s="7" t="n">
        <f aca="false">COUNTIF(Entraînements!D2:D76,"oui")</f>
        <v>0</v>
      </c>
    </row>
    <row r="18" customFormat="false" ht="15" hidden="false" customHeight="false" outlineLevel="0" collapsed="false">
      <c r="A18" s="6" t="s">
        <v>24</v>
      </c>
      <c r="B18" s="7" t="n">
        <f aca="false">COUNTA(Exercices!A2:A147)-COUNTA(Exercices!D2:D147)</f>
        <v>146</v>
      </c>
    </row>
    <row r="20" customFormat="false" ht="15" hidden="false" customHeight="false" outlineLevel="0" collapsed="false">
      <c r="A20" s="6" t="s">
        <v>25</v>
      </c>
      <c r="B20" s="8" t="n">
        <v>60</v>
      </c>
      <c r="C20" s="6" t="s">
        <v>26</v>
      </c>
    </row>
    <row r="22" customFormat="false" ht="18" hidden="false" customHeight="true" outlineLevel="0" collapsed="false">
      <c r="A22" s="9" t="s">
        <v>27</v>
      </c>
      <c r="B22" s="9"/>
      <c r="C22" s="9"/>
    </row>
    <row r="23" customFormat="false" ht="30" hidden="false" customHeight="true" outlineLevel="0" collapsed="false">
      <c r="A23" s="10" t="s">
        <v>28</v>
      </c>
      <c r="B23" s="10"/>
      <c r="C23" s="10"/>
    </row>
    <row r="24" customFormat="false" ht="30" hidden="false" customHeight="true" outlineLevel="0" collapsed="false">
      <c r="A24" s="10" t="s">
        <v>29</v>
      </c>
      <c r="B24" s="10"/>
      <c r="C24" s="10"/>
    </row>
    <row r="25" customFormat="false" ht="30" hidden="false" customHeight="true" outlineLevel="0" collapsed="false">
      <c r="A25" s="10" t="s">
        <v>30</v>
      </c>
      <c r="B25" s="10"/>
      <c r="C25" s="10"/>
    </row>
    <row r="26" customFormat="false" ht="30" hidden="false" customHeight="true" outlineLevel="0" collapsed="false">
      <c r="A26" s="10" t="s">
        <v>31</v>
      </c>
      <c r="B26" s="10"/>
      <c r="C26" s="10"/>
    </row>
    <row r="27" customFormat="false" ht="30" hidden="false" customHeight="true" outlineLevel="0" collapsed="false">
      <c r="A27" s="10" t="s">
        <v>32</v>
      </c>
      <c r="B27" s="10"/>
      <c r="C27" s="10"/>
    </row>
  </sheetData>
  <mergeCells count="6">
    <mergeCell ref="A22:C22"/>
    <mergeCell ref="A23:C23"/>
    <mergeCell ref="A24:C24"/>
    <mergeCell ref="A25:C25"/>
    <mergeCell ref="A26:C26"/>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4"/>
    <col collapsed="false" customWidth="true" hidden="false" outlineLevel="0" max="5" min="4" style="0" width="10"/>
    <col collapsed="false" customWidth="true" hidden="false" outlineLevel="0" max="6" min="6" style="0" width="30"/>
    <col collapsed="false" customWidth="true" hidden="false" outlineLevel="0" max="7" min="7" style="0" width="13"/>
    <col collapsed="false" customWidth="true" hidden="false" outlineLevel="0" max="9" min="8" style="0" width="18"/>
    <col collapsed="false" customWidth="true" hidden="false" outlineLevel="0" max="10" min="10" style="0" width="9"/>
    <col collapsed="false" customWidth="true" hidden="false" outlineLevel="0" max="11" min="11" style="0" width="7"/>
    <col collapsed="false" customWidth="true" hidden="false" outlineLevel="0" max="12" min="12" style="0" width="14"/>
    <col collapsed="false" customWidth="true" hidden="false" outlineLevel="0" max="13" min="13" style="0" width="13"/>
    <col collapsed="false" customWidth="true" hidden="false" outlineLevel="0" max="14" min="14" style="0" width="40"/>
    <col collapsed="false" customWidth="true" hidden="false" outlineLevel="0" max="16" min="15" style="0" width="28"/>
    <col collapsed="false" customWidth="true" hidden="false" outlineLevel="0" max="17" min="17" style="0" width="30"/>
    <col collapsed="false" customWidth="true" hidden="false" outlineLevel="0" max="18" min="18" style="0" width="55"/>
    <col collapsed="false" customWidth="true" hidden="false" outlineLevel="0" max="19" min="19" style="0" width="35"/>
    <col collapsed="false" customWidth="true" hidden="false" outlineLevel="0" max="20" min="20" style="0" width="30"/>
    <col collapsed="false" customWidth="true" hidden="false" outlineLevel="0" max="21" min="21" style="0" width="38"/>
    <col collapsed="false" customWidth="true" hidden="false" outlineLevel="0" max="22" min="22" style="0" width="60"/>
    <col collapsed="false" customWidth="true" hidden="false" outlineLevel="0" max="23" min="23" style="0" width="50"/>
  </cols>
  <sheetData>
    <row r="1" customFormat="false" ht="31.5" hidden="false" customHeight="true" outlineLevel="0" collapsed="false">
      <c r="A1" s="11" t="s">
        <v>33</v>
      </c>
      <c r="B1" s="11" t="s">
        <v>34</v>
      </c>
      <c r="C1" s="11" t="s">
        <v>35</v>
      </c>
      <c r="D1" s="12" t="s">
        <v>3</v>
      </c>
      <c r="E1" s="12" t="s">
        <v>6</v>
      </c>
      <c r="F1" s="12" t="s">
        <v>9</v>
      </c>
      <c r="G1" s="11" t="s">
        <v>36</v>
      </c>
      <c r="H1" s="11" t="s">
        <v>37</v>
      </c>
      <c r="I1" s="11" t="s">
        <v>38</v>
      </c>
      <c r="J1" s="11" t="s">
        <v>39</v>
      </c>
      <c r="K1" s="11" t="s">
        <v>40</v>
      </c>
      <c r="L1" s="11" t="s">
        <v>41</v>
      </c>
      <c r="M1" s="11" t="s">
        <v>42</v>
      </c>
      <c r="N1" s="11" t="s">
        <v>43</v>
      </c>
      <c r="O1" s="11" t="s">
        <v>44</v>
      </c>
      <c r="P1" s="11" t="s">
        <v>45</v>
      </c>
      <c r="Q1" s="11" t="s">
        <v>46</v>
      </c>
      <c r="R1" s="11" t="s">
        <v>47</v>
      </c>
      <c r="S1" s="11" t="s">
        <v>48</v>
      </c>
      <c r="T1" s="11" t="s">
        <v>49</v>
      </c>
      <c r="U1" s="11" t="s">
        <v>50</v>
      </c>
      <c r="V1" s="11" t="s">
        <v>51</v>
      </c>
      <c r="W1" s="11" t="s">
        <v>52</v>
      </c>
    </row>
    <row r="2" customFormat="false" ht="53.7" hidden="false" customHeight="false" outlineLevel="0" collapsed="false">
      <c r="A2" s="13" t="s">
        <v>53</v>
      </c>
      <c r="B2" s="13" t="s">
        <v>54</v>
      </c>
      <c r="C2" s="13" t="s">
        <v>55</v>
      </c>
      <c r="D2" s="14"/>
      <c r="E2" s="14"/>
      <c r="F2" s="14"/>
      <c r="G2" s="13" t="s">
        <v>56</v>
      </c>
      <c r="H2" s="13" t="s">
        <v>57</v>
      </c>
      <c r="I2" s="13" t="s">
        <v>58</v>
      </c>
      <c r="J2" s="13" t="n">
        <v>2</v>
      </c>
      <c r="K2" s="13" t="s">
        <v>59</v>
      </c>
      <c r="L2" s="13" t="s">
        <v>60</v>
      </c>
      <c r="M2" s="13" t="s">
        <v>61</v>
      </c>
      <c r="N2" s="13" t="s">
        <v>62</v>
      </c>
      <c r="O2" s="13" t="s">
        <v>63</v>
      </c>
      <c r="P2" s="13" t="s">
        <v>64</v>
      </c>
      <c r="Q2" s="13" t="s">
        <v>65</v>
      </c>
      <c r="R2" s="13" t="s">
        <v>66</v>
      </c>
      <c r="S2" s="13" t="s">
        <v>67</v>
      </c>
      <c r="T2" s="13" t="s">
        <v>68</v>
      </c>
      <c r="U2" s="13" t="s">
        <v>69</v>
      </c>
      <c r="V2" s="13" t="s">
        <v>70</v>
      </c>
      <c r="W2" s="15" t="s">
        <v>71</v>
      </c>
    </row>
    <row r="3" customFormat="false" ht="43.25" hidden="false" customHeight="false" outlineLevel="0" collapsed="false">
      <c r="A3" s="13" t="s">
        <v>72</v>
      </c>
      <c r="B3" s="13" t="s">
        <v>73</v>
      </c>
      <c r="C3" s="13" t="s">
        <v>55</v>
      </c>
      <c r="D3" s="14"/>
      <c r="E3" s="14"/>
      <c r="F3" s="14"/>
      <c r="G3" s="13" t="s">
        <v>56</v>
      </c>
      <c r="H3" s="13" t="s">
        <v>57</v>
      </c>
      <c r="I3" s="13" t="s">
        <v>58</v>
      </c>
      <c r="J3" s="13" t="n">
        <v>2</v>
      </c>
      <c r="K3" s="13" t="s">
        <v>59</v>
      </c>
      <c r="L3" s="13" t="s">
        <v>60</v>
      </c>
      <c r="M3" s="13" t="s">
        <v>61</v>
      </c>
      <c r="N3" s="13" t="s">
        <v>74</v>
      </c>
      <c r="O3" s="13" t="s">
        <v>75</v>
      </c>
      <c r="P3" s="13" t="s">
        <v>76</v>
      </c>
      <c r="Q3" s="13" t="s">
        <v>65</v>
      </c>
      <c r="R3" s="13" t="s">
        <v>77</v>
      </c>
      <c r="S3" s="13" t="s">
        <v>78</v>
      </c>
      <c r="T3" s="13" t="s">
        <v>68</v>
      </c>
      <c r="U3" s="13" t="s">
        <v>79</v>
      </c>
      <c r="V3" s="13" t="s">
        <v>80</v>
      </c>
      <c r="W3" s="15" t="s">
        <v>81</v>
      </c>
    </row>
    <row r="4" customFormat="false" ht="43.25" hidden="false" customHeight="false" outlineLevel="0" collapsed="false">
      <c r="A4" s="13" t="s">
        <v>82</v>
      </c>
      <c r="B4" s="13" t="s">
        <v>83</v>
      </c>
      <c r="C4" s="13" t="s">
        <v>55</v>
      </c>
      <c r="D4" s="14"/>
      <c r="E4" s="14"/>
      <c r="F4" s="14"/>
      <c r="G4" s="13" t="s">
        <v>56</v>
      </c>
      <c r="H4" s="13" t="s">
        <v>84</v>
      </c>
      <c r="I4" s="13" t="s">
        <v>58</v>
      </c>
      <c r="J4" s="13" t="n">
        <v>3</v>
      </c>
      <c r="K4" s="13" t="s">
        <v>59</v>
      </c>
      <c r="L4" s="13" t="s">
        <v>85</v>
      </c>
      <c r="M4" s="13" t="s">
        <v>86</v>
      </c>
      <c r="N4" s="13" t="s">
        <v>87</v>
      </c>
      <c r="O4" s="13" t="s">
        <v>88</v>
      </c>
      <c r="P4" s="13" t="s">
        <v>89</v>
      </c>
      <c r="Q4" s="13" t="s">
        <v>65</v>
      </c>
      <c r="R4" s="13" t="s">
        <v>90</v>
      </c>
      <c r="S4" s="13" t="s">
        <v>91</v>
      </c>
      <c r="T4" s="13" t="s">
        <v>92</v>
      </c>
      <c r="U4" s="13" t="s">
        <v>93</v>
      </c>
      <c r="V4" s="13" t="s">
        <v>94</v>
      </c>
      <c r="W4" s="15" t="s">
        <v>95</v>
      </c>
    </row>
    <row r="5" customFormat="false" ht="53.7" hidden="false" customHeight="false" outlineLevel="0" collapsed="false">
      <c r="A5" s="13" t="s">
        <v>96</v>
      </c>
      <c r="B5" s="13" t="s">
        <v>97</v>
      </c>
      <c r="C5" s="13" t="s">
        <v>55</v>
      </c>
      <c r="D5" s="14"/>
      <c r="E5" s="14"/>
      <c r="F5" s="14"/>
      <c r="G5" s="13" t="s">
        <v>56</v>
      </c>
      <c r="H5" s="13" t="s">
        <v>57</v>
      </c>
      <c r="I5" s="13" t="s">
        <v>58</v>
      </c>
      <c r="J5" s="13" t="n">
        <v>3</v>
      </c>
      <c r="K5" s="13" t="s">
        <v>59</v>
      </c>
      <c r="L5" s="13" t="s">
        <v>60</v>
      </c>
      <c r="M5" s="13" t="s">
        <v>98</v>
      </c>
      <c r="N5" s="13" t="s">
        <v>99</v>
      </c>
      <c r="O5" s="13" t="s">
        <v>63</v>
      </c>
      <c r="P5" s="13" t="s">
        <v>100</v>
      </c>
      <c r="Q5" s="13" t="s">
        <v>101</v>
      </c>
      <c r="R5" s="13" t="s">
        <v>102</v>
      </c>
      <c r="S5" s="13" t="s">
        <v>103</v>
      </c>
      <c r="T5" s="13" t="s">
        <v>68</v>
      </c>
      <c r="U5" s="13" t="s">
        <v>104</v>
      </c>
      <c r="V5" s="13" t="s">
        <v>105</v>
      </c>
      <c r="W5" s="15" t="s">
        <v>106</v>
      </c>
    </row>
    <row r="6" customFormat="false" ht="43.25" hidden="false" customHeight="false" outlineLevel="0" collapsed="false">
      <c r="A6" s="13" t="s">
        <v>107</v>
      </c>
      <c r="B6" s="13" t="s">
        <v>108</v>
      </c>
      <c r="C6" s="13" t="s">
        <v>55</v>
      </c>
      <c r="D6" s="14"/>
      <c r="E6" s="14"/>
      <c r="F6" s="14"/>
      <c r="G6" s="13" t="s">
        <v>56</v>
      </c>
      <c r="H6" s="13" t="s">
        <v>57</v>
      </c>
      <c r="I6" s="13" t="s">
        <v>58</v>
      </c>
      <c r="J6" s="13" t="n">
        <v>2</v>
      </c>
      <c r="K6" s="13" t="s">
        <v>59</v>
      </c>
      <c r="L6" s="13" t="s">
        <v>60</v>
      </c>
      <c r="M6" s="13" t="s">
        <v>98</v>
      </c>
      <c r="N6" s="13" t="s">
        <v>109</v>
      </c>
      <c r="O6" s="13" t="s">
        <v>110</v>
      </c>
      <c r="P6" s="13" t="s">
        <v>76</v>
      </c>
      <c r="Q6" s="13" t="s">
        <v>101</v>
      </c>
      <c r="R6" s="13" t="s">
        <v>111</v>
      </c>
      <c r="S6" s="13" t="s">
        <v>112</v>
      </c>
      <c r="T6" s="13" t="s">
        <v>113</v>
      </c>
      <c r="U6" s="13" t="s">
        <v>114</v>
      </c>
      <c r="V6" s="13" t="s">
        <v>115</v>
      </c>
      <c r="W6" s="15" t="s">
        <v>116</v>
      </c>
    </row>
    <row r="7" customFormat="false" ht="43.25" hidden="false" customHeight="false" outlineLevel="0" collapsed="false">
      <c r="A7" s="13" t="s">
        <v>117</v>
      </c>
      <c r="B7" s="13" t="s">
        <v>118</v>
      </c>
      <c r="C7" s="13" t="s">
        <v>55</v>
      </c>
      <c r="D7" s="14"/>
      <c r="E7" s="14"/>
      <c r="F7" s="14"/>
      <c r="G7" s="13" t="s">
        <v>56</v>
      </c>
      <c r="H7" s="13" t="s">
        <v>57</v>
      </c>
      <c r="I7" s="13" t="s">
        <v>119</v>
      </c>
      <c r="J7" s="13" t="n">
        <v>2</v>
      </c>
      <c r="K7" s="13" t="s">
        <v>59</v>
      </c>
      <c r="L7" s="13" t="s">
        <v>60</v>
      </c>
      <c r="M7" s="13" t="s">
        <v>98</v>
      </c>
      <c r="N7" s="13" t="s">
        <v>120</v>
      </c>
      <c r="O7" s="13" t="s">
        <v>121</v>
      </c>
      <c r="P7" s="13" t="s">
        <v>122</v>
      </c>
      <c r="Q7" s="13" t="s">
        <v>101</v>
      </c>
      <c r="R7" s="13" t="s">
        <v>123</v>
      </c>
      <c r="S7" s="13" t="s">
        <v>124</v>
      </c>
      <c r="T7" s="13" t="s">
        <v>125</v>
      </c>
      <c r="U7" s="13" t="s">
        <v>126</v>
      </c>
      <c r="V7" s="13" t="s">
        <v>127</v>
      </c>
      <c r="W7" s="15" t="s">
        <v>128</v>
      </c>
    </row>
    <row r="8" customFormat="false" ht="43.25" hidden="false" customHeight="false" outlineLevel="0" collapsed="false">
      <c r="A8" s="13" t="s">
        <v>129</v>
      </c>
      <c r="B8" s="13" t="s">
        <v>130</v>
      </c>
      <c r="C8" s="13" t="s">
        <v>55</v>
      </c>
      <c r="D8" s="14"/>
      <c r="E8" s="14"/>
      <c r="F8" s="14"/>
      <c r="G8" s="13" t="s">
        <v>56</v>
      </c>
      <c r="H8" s="13" t="s">
        <v>57</v>
      </c>
      <c r="I8" s="13" t="s">
        <v>58</v>
      </c>
      <c r="J8" s="13" t="n">
        <v>4</v>
      </c>
      <c r="K8" s="13" t="s">
        <v>59</v>
      </c>
      <c r="L8" s="13" t="s">
        <v>131</v>
      </c>
      <c r="M8" s="13" t="s">
        <v>132</v>
      </c>
      <c r="N8" s="13" t="s">
        <v>133</v>
      </c>
      <c r="O8" s="13" t="s">
        <v>63</v>
      </c>
      <c r="P8" s="13" t="s">
        <v>134</v>
      </c>
      <c r="Q8" s="13" t="s">
        <v>101</v>
      </c>
      <c r="R8" s="13" t="s">
        <v>135</v>
      </c>
      <c r="S8" s="13" t="s">
        <v>136</v>
      </c>
      <c r="T8" s="13" t="s">
        <v>68</v>
      </c>
      <c r="U8" s="13" t="s">
        <v>137</v>
      </c>
      <c r="V8" s="13" t="s">
        <v>138</v>
      </c>
      <c r="W8" s="15" t="s">
        <v>139</v>
      </c>
    </row>
    <row r="9" customFormat="false" ht="32.8" hidden="false" customHeight="false" outlineLevel="0" collapsed="false">
      <c r="A9" s="13" t="s">
        <v>140</v>
      </c>
      <c r="B9" s="13" t="s">
        <v>141</v>
      </c>
      <c r="C9" s="13" t="s">
        <v>55</v>
      </c>
      <c r="D9" s="14"/>
      <c r="E9" s="14"/>
      <c r="F9" s="14"/>
      <c r="G9" s="13" t="s">
        <v>56</v>
      </c>
      <c r="H9" s="13" t="s">
        <v>142</v>
      </c>
      <c r="I9" s="13" t="s">
        <v>58</v>
      </c>
      <c r="J9" s="13" t="n">
        <v>3</v>
      </c>
      <c r="K9" s="13" t="s">
        <v>59</v>
      </c>
      <c r="L9" s="13" t="s">
        <v>60</v>
      </c>
      <c r="M9" s="13" t="s">
        <v>98</v>
      </c>
      <c r="N9" s="13" t="s">
        <v>143</v>
      </c>
      <c r="O9" s="13" t="s">
        <v>144</v>
      </c>
      <c r="P9" s="13" t="s">
        <v>145</v>
      </c>
      <c r="Q9" s="13" t="s">
        <v>65</v>
      </c>
      <c r="R9" s="13" t="s">
        <v>146</v>
      </c>
      <c r="S9" s="13" t="s">
        <v>147</v>
      </c>
      <c r="T9" s="13" t="s">
        <v>148</v>
      </c>
      <c r="U9" s="13" t="s">
        <v>149</v>
      </c>
      <c r="V9" s="13" t="s">
        <v>150</v>
      </c>
      <c r="W9" s="15" t="s">
        <v>151</v>
      </c>
    </row>
    <row r="10" customFormat="false" ht="53.7" hidden="false" customHeight="false" outlineLevel="0" collapsed="false">
      <c r="A10" s="13" t="s">
        <v>152</v>
      </c>
      <c r="B10" s="13" t="s">
        <v>153</v>
      </c>
      <c r="C10" s="13" t="s">
        <v>55</v>
      </c>
      <c r="D10" s="14"/>
      <c r="E10" s="14"/>
      <c r="F10" s="14"/>
      <c r="G10" s="13" t="s">
        <v>56</v>
      </c>
      <c r="H10" s="13" t="s">
        <v>154</v>
      </c>
      <c r="I10" s="13" t="s">
        <v>58</v>
      </c>
      <c r="J10" s="13" t="n">
        <v>3</v>
      </c>
      <c r="K10" s="13" t="s">
        <v>59</v>
      </c>
      <c r="L10" s="13" t="s">
        <v>60</v>
      </c>
      <c r="M10" s="13" t="s">
        <v>61</v>
      </c>
      <c r="N10" s="13" t="s">
        <v>155</v>
      </c>
      <c r="O10" s="13" t="s">
        <v>144</v>
      </c>
      <c r="P10" s="13" t="s">
        <v>156</v>
      </c>
      <c r="Q10" s="13" t="s">
        <v>65</v>
      </c>
      <c r="R10" s="13" t="s">
        <v>157</v>
      </c>
      <c r="S10" s="13" t="s">
        <v>158</v>
      </c>
      <c r="T10" s="13" t="s">
        <v>148</v>
      </c>
      <c r="U10" s="13" t="s">
        <v>159</v>
      </c>
      <c r="V10" s="13" t="s">
        <v>160</v>
      </c>
      <c r="W10" s="15" t="s">
        <v>161</v>
      </c>
    </row>
    <row r="11" customFormat="false" ht="43.25" hidden="false" customHeight="false" outlineLevel="0" collapsed="false">
      <c r="A11" s="13" t="s">
        <v>162</v>
      </c>
      <c r="B11" s="13" t="s">
        <v>163</v>
      </c>
      <c r="C11" s="13" t="s">
        <v>55</v>
      </c>
      <c r="D11" s="14"/>
      <c r="E11" s="14"/>
      <c r="F11" s="14"/>
      <c r="G11" s="13" t="s">
        <v>56</v>
      </c>
      <c r="H11" s="13" t="s">
        <v>154</v>
      </c>
      <c r="I11" s="13" t="s">
        <v>164</v>
      </c>
      <c r="J11" s="13" t="n">
        <v>2</v>
      </c>
      <c r="K11" s="13" t="s">
        <v>59</v>
      </c>
      <c r="L11" s="13" t="s">
        <v>60</v>
      </c>
      <c r="M11" s="13" t="s">
        <v>61</v>
      </c>
      <c r="N11" s="13" t="s">
        <v>165</v>
      </c>
      <c r="O11" s="13" t="s">
        <v>144</v>
      </c>
      <c r="P11" s="13" t="s">
        <v>166</v>
      </c>
      <c r="Q11" s="13" t="s">
        <v>65</v>
      </c>
      <c r="R11" s="13" t="s">
        <v>167</v>
      </c>
      <c r="S11" s="13" t="s">
        <v>168</v>
      </c>
      <c r="T11" s="13" t="s">
        <v>169</v>
      </c>
      <c r="U11" s="13" t="s">
        <v>170</v>
      </c>
      <c r="V11" s="13" t="s">
        <v>171</v>
      </c>
      <c r="W11" s="15" t="s">
        <v>172</v>
      </c>
    </row>
    <row r="12" customFormat="false" ht="32.8" hidden="false" customHeight="false" outlineLevel="0" collapsed="false">
      <c r="A12" s="13" t="s">
        <v>173</v>
      </c>
      <c r="B12" s="13" t="s">
        <v>174</v>
      </c>
      <c r="C12" s="13" t="s">
        <v>55</v>
      </c>
      <c r="D12" s="14"/>
      <c r="E12" s="14"/>
      <c r="F12" s="14"/>
      <c r="G12" s="13" t="s">
        <v>56</v>
      </c>
      <c r="H12" s="13" t="s">
        <v>154</v>
      </c>
      <c r="I12" s="13" t="s">
        <v>164</v>
      </c>
      <c r="J12" s="13" t="n">
        <v>2</v>
      </c>
      <c r="K12" s="13" t="s">
        <v>59</v>
      </c>
      <c r="L12" s="13" t="s">
        <v>60</v>
      </c>
      <c r="M12" s="13" t="s">
        <v>61</v>
      </c>
      <c r="N12" s="13" t="s">
        <v>175</v>
      </c>
      <c r="O12" s="13" t="s">
        <v>122</v>
      </c>
      <c r="P12" s="13" t="s">
        <v>176</v>
      </c>
      <c r="Q12" s="13" t="s">
        <v>65</v>
      </c>
      <c r="R12" s="13" t="s">
        <v>177</v>
      </c>
      <c r="S12" s="13" t="s">
        <v>178</v>
      </c>
      <c r="T12" s="13" t="s">
        <v>179</v>
      </c>
      <c r="U12" s="13" t="s">
        <v>180</v>
      </c>
      <c r="V12" s="13" t="s">
        <v>181</v>
      </c>
      <c r="W12" s="15" t="s">
        <v>182</v>
      </c>
    </row>
    <row r="13" customFormat="false" ht="43.25" hidden="false" customHeight="false" outlineLevel="0" collapsed="false">
      <c r="A13" s="13" t="s">
        <v>183</v>
      </c>
      <c r="B13" s="13" t="s">
        <v>184</v>
      </c>
      <c r="C13" s="13" t="s">
        <v>55</v>
      </c>
      <c r="D13" s="14"/>
      <c r="E13" s="14"/>
      <c r="F13" s="14"/>
      <c r="G13" s="13" t="s">
        <v>56</v>
      </c>
      <c r="H13" s="13" t="s">
        <v>185</v>
      </c>
      <c r="I13" s="13" t="s">
        <v>186</v>
      </c>
      <c r="J13" s="13" t="n">
        <v>2</v>
      </c>
      <c r="K13" s="13" t="s">
        <v>59</v>
      </c>
      <c r="L13" s="13" t="s">
        <v>60</v>
      </c>
      <c r="M13" s="13" t="s">
        <v>61</v>
      </c>
      <c r="N13" s="13" t="s">
        <v>187</v>
      </c>
      <c r="O13" s="13" t="s">
        <v>188</v>
      </c>
      <c r="P13" s="13" t="s">
        <v>189</v>
      </c>
      <c r="Q13" s="13" t="s">
        <v>65</v>
      </c>
      <c r="R13" s="13" t="s">
        <v>190</v>
      </c>
      <c r="S13" s="13" t="s">
        <v>191</v>
      </c>
      <c r="T13" s="13" t="s">
        <v>68</v>
      </c>
      <c r="U13" s="13" t="s">
        <v>192</v>
      </c>
      <c r="V13" s="13" t="s">
        <v>193</v>
      </c>
      <c r="W13" s="15" t="s">
        <v>194</v>
      </c>
    </row>
    <row r="14" customFormat="false" ht="64.15" hidden="false" customHeight="false" outlineLevel="0" collapsed="false">
      <c r="A14" s="13" t="s">
        <v>195</v>
      </c>
      <c r="B14" s="13" t="s">
        <v>196</v>
      </c>
      <c r="C14" s="13" t="s">
        <v>55</v>
      </c>
      <c r="D14" s="14"/>
      <c r="E14" s="14"/>
      <c r="F14" s="14"/>
      <c r="G14" s="13" t="s">
        <v>56</v>
      </c>
      <c r="H14" s="13" t="s">
        <v>197</v>
      </c>
      <c r="I14" s="13" t="s">
        <v>198</v>
      </c>
      <c r="J14" s="13" t="n">
        <v>3</v>
      </c>
      <c r="K14" s="13" t="s">
        <v>59</v>
      </c>
      <c r="L14" s="13" t="s">
        <v>199</v>
      </c>
      <c r="M14" s="13" t="s">
        <v>98</v>
      </c>
      <c r="N14" s="13" t="s">
        <v>200</v>
      </c>
      <c r="O14" s="13" t="s">
        <v>188</v>
      </c>
      <c r="P14" s="13" t="s">
        <v>201</v>
      </c>
      <c r="Q14" s="13" t="s">
        <v>202</v>
      </c>
      <c r="R14" s="13" t="s">
        <v>203</v>
      </c>
      <c r="S14" s="13" t="s">
        <v>204</v>
      </c>
      <c r="T14" s="13" t="s">
        <v>68</v>
      </c>
      <c r="U14" s="13" t="s">
        <v>205</v>
      </c>
      <c r="V14" s="13" t="s">
        <v>206</v>
      </c>
      <c r="W14" s="15" t="s">
        <v>207</v>
      </c>
    </row>
    <row r="15" customFormat="false" ht="43.25" hidden="false" customHeight="false" outlineLevel="0" collapsed="false">
      <c r="A15" s="13" t="s">
        <v>208</v>
      </c>
      <c r="B15" s="13" t="s">
        <v>209</v>
      </c>
      <c r="C15" s="13" t="s">
        <v>55</v>
      </c>
      <c r="D15" s="14"/>
      <c r="E15" s="14"/>
      <c r="F15" s="14"/>
      <c r="G15" s="13" t="s">
        <v>56</v>
      </c>
      <c r="H15" s="13" t="s">
        <v>57</v>
      </c>
      <c r="I15" s="13" t="s">
        <v>198</v>
      </c>
      <c r="J15" s="13" t="n">
        <v>3</v>
      </c>
      <c r="K15" s="13" t="s">
        <v>59</v>
      </c>
      <c r="L15" s="13" t="s">
        <v>199</v>
      </c>
      <c r="M15" s="13" t="s">
        <v>98</v>
      </c>
      <c r="N15" s="13" t="s">
        <v>210</v>
      </c>
      <c r="O15" s="13" t="s">
        <v>63</v>
      </c>
      <c r="P15" s="13" t="s">
        <v>211</v>
      </c>
      <c r="Q15" s="13" t="s">
        <v>202</v>
      </c>
      <c r="R15" s="13" t="s">
        <v>212</v>
      </c>
      <c r="S15" s="13" t="s">
        <v>213</v>
      </c>
      <c r="T15" s="13" t="s">
        <v>68</v>
      </c>
      <c r="U15" s="13" t="s">
        <v>214</v>
      </c>
      <c r="V15" s="13" t="s">
        <v>215</v>
      </c>
      <c r="W15" s="15" t="s">
        <v>216</v>
      </c>
    </row>
    <row r="16" customFormat="false" ht="32.8" hidden="false" customHeight="false" outlineLevel="0" collapsed="false">
      <c r="A16" s="13" t="s">
        <v>217</v>
      </c>
      <c r="B16" s="13" t="s">
        <v>218</v>
      </c>
      <c r="C16" s="13" t="s">
        <v>55</v>
      </c>
      <c r="D16" s="14"/>
      <c r="E16" s="14"/>
      <c r="F16" s="14"/>
      <c r="G16" s="13" t="s">
        <v>56</v>
      </c>
      <c r="H16" s="13" t="s">
        <v>84</v>
      </c>
      <c r="I16" s="13" t="s">
        <v>58</v>
      </c>
      <c r="J16" s="13" t="n">
        <v>2</v>
      </c>
      <c r="K16" s="13" t="s">
        <v>59</v>
      </c>
      <c r="L16" s="13" t="s">
        <v>85</v>
      </c>
      <c r="M16" s="13" t="s">
        <v>61</v>
      </c>
      <c r="N16" s="13" t="s">
        <v>219</v>
      </c>
      <c r="O16" s="13" t="s">
        <v>220</v>
      </c>
      <c r="P16" s="13"/>
      <c r="Q16" s="13" t="s">
        <v>65</v>
      </c>
      <c r="R16" s="13" t="s">
        <v>221</v>
      </c>
      <c r="S16" s="13" t="s">
        <v>222</v>
      </c>
      <c r="T16" s="13" t="s">
        <v>223</v>
      </c>
      <c r="U16" s="13" t="s">
        <v>224</v>
      </c>
      <c r="V16" s="13" t="s">
        <v>225</v>
      </c>
      <c r="W16" s="15" t="s">
        <v>226</v>
      </c>
    </row>
    <row r="17" customFormat="false" ht="64.15" hidden="false" customHeight="false" outlineLevel="0" collapsed="false">
      <c r="A17" s="13" t="s">
        <v>227</v>
      </c>
      <c r="B17" s="13" t="s">
        <v>228</v>
      </c>
      <c r="C17" s="13" t="s">
        <v>55</v>
      </c>
      <c r="D17" s="14"/>
      <c r="E17" s="14"/>
      <c r="F17" s="14"/>
      <c r="G17" s="13" t="s">
        <v>56</v>
      </c>
      <c r="H17" s="13" t="s">
        <v>84</v>
      </c>
      <c r="I17" s="13" t="s">
        <v>164</v>
      </c>
      <c r="J17" s="13" t="n">
        <v>1</v>
      </c>
      <c r="K17" s="13" t="s">
        <v>59</v>
      </c>
      <c r="L17" s="13" t="s">
        <v>60</v>
      </c>
      <c r="M17" s="13" t="s">
        <v>229</v>
      </c>
      <c r="N17" s="13" t="s">
        <v>230</v>
      </c>
      <c r="O17" s="13" t="s">
        <v>231</v>
      </c>
      <c r="P17" s="13" t="s">
        <v>232</v>
      </c>
      <c r="Q17" s="13" t="s">
        <v>65</v>
      </c>
      <c r="R17" s="13" t="s">
        <v>233</v>
      </c>
      <c r="S17" s="13" t="s">
        <v>234</v>
      </c>
      <c r="T17" s="13" t="s">
        <v>223</v>
      </c>
      <c r="U17" s="13" t="s">
        <v>235</v>
      </c>
      <c r="V17" s="13" t="s">
        <v>236</v>
      </c>
      <c r="W17" s="15" t="s">
        <v>237</v>
      </c>
    </row>
    <row r="18" customFormat="false" ht="32.8" hidden="false" customHeight="false" outlineLevel="0" collapsed="false">
      <c r="A18" s="13" t="s">
        <v>238</v>
      </c>
      <c r="B18" s="13" t="s">
        <v>239</v>
      </c>
      <c r="C18" s="13" t="s">
        <v>55</v>
      </c>
      <c r="D18" s="14"/>
      <c r="E18" s="14"/>
      <c r="F18" s="14"/>
      <c r="G18" s="13" t="s">
        <v>240</v>
      </c>
      <c r="H18" s="13" t="s">
        <v>241</v>
      </c>
      <c r="I18" s="13" t="s">
        <v>198</v>
      </c>
      <c r="J18" s="13" t="n">
        <v>3</v>
      </c>
      <c r="K18" s="13" t="s">
        <v>59</v>
      </c>
      <c r="L18" s="13" t="s">
        <v>60</v>
      </c>
      <c r="M18" s="13" t="s">
        <v>98</v>
      </c>
      <c r="N18" s="13" t="s">
        <v>242</v>
      </c>
      <c r="O18" s="13" t="s">
        <v>176</v>
      </c>
      <c r="P18" s="13" t="s">
        <v>243</v>
      </c>
      <c r="Q18" s="13" t="s">
        <v>244</v>
      </c>
      <c r="R18" s="13" t="s">
        <v>245</v>
      </c>
      <c r="S18" s="13" t="s">
        <v>246</v>
      </c>
      <c r="T18" s="13" t="s">
        <v>247</v>
      </c>
      <c r="U18" s="13" t="s">
        <v>248</v>
      </c>
      <c r="V18" s="13" t="s">
        <v>249</v>
      </c>
      <c r="W18" s="15" t="s">
        <v>250</v>
      </c>
    </row>
    <row r="19" customFormat="false" ht="64.15" hidden="false" customHeight="false" outlineLevel="0" collapsed="false">
      <c r="A19" s="13" t="s">
        <v>251</v>
      </c>
      <c r="B19" s="13" t="s">
        <v>252</v>
      </c>
      <c r="C19" s="13" t="s">
        <v>55</v>
      </c>
      <c r="D19" s="14"/>
      <c r="E19" s="14"/>
      <c r="F19" s="14"/>
      <c r="G19" s="13" t="s">
        <v>253</v>
      </c>
      <c r="H19" s="13" t="s">
        <v>57</v>
      </c>
      <c r="I19" s="13" t="s">
        <v>198</v>
      </c>
      <c r="J19" s="13" t="n">
        <v>4</v>
      </c>
      <c r="K19" s="13" t="s">
        <v>59</v>
      </c>
      <c r="L19" s="13" t="s">
        <v>131</v>
      </c>
      <c r="M19" s="13" t="s">
        <v>254</v>
      </c>
      <c r="N19" s="13" t="s">
        <v>255</v>
      </c>
      <c r="O19" s="13" t="s">
        <v>63</v>
      </c>
      <c r="P19" s="13" t="s">
        <v>256</v>
      </c>
      <c r="Q19" s="13" t="s">
        <v>101</v>
      </c>
      <c r="R19" s="13" t="s">
        <v>257</v>
      </c>
      <c r="S19" s="13" t="s">
        <v>258</v>
      </c>
      <c r="T19" s="13" t="s">
        <v>259</v>
      </c>
      <c r="U19" s="13" t="s">
        <v>260</v>
      </c>
      <c r="V19" s="13" t="s">
        <v>261</v>
      </c>
      <c r="W19" s="15" t="s">
        <v>262</v>
      </c>
    </row>
    <row r="20" customFormat="false" ht="53.7" hidden="false" customHeight="false" outlineLevel="0" collapsed="false">
      <c r="A20" s="13" t="s">
        <v>263</v>
      </c>
      <c r="B20" s="13" t="s">
        <v>264</v>
      </c>
      <c r="C20" s="13" t="s">
        <v>55</v>
      </c>
      <c r="D20" s="14"/>
      <c r="E20" s="14"/>
      <c r="F20" s="14"/>
      <c r="G20" s="13" t="s">
        <v>56</v>
      </c>
      <c r="H20" s="13" t="s">
        <v>265</v>
      </c>
      <c r="I20" s="13" t="s">
        <v>58</v>
      </c>
      <c r="J20" s="13" t="n">
        <v>1</v>
      </c>
      <c r="K20" s="13" t="s">
        <v>59</v>
      </c>
      <c r="L20" s="13" t="s">
        <v>85</v>
      </c>
      <c r="M20" s="13" t="s">
        <v>61</v>
      </c>
      <c r="N20" s="13" t="s">
        <v>266</v>
      </c>
      <c r="O20" s="13" t="s">
        <v>267</v>
      </c>
      <c r="P20" s="13" t="s">
        <v>268</v>
      </c>
      <c r="Q20" s="13" t="s">
        <v>65</v>
      </c>
      <c r="R20" s="13" t="s">
        <v>269</v>
      </c>
      <c r="S20" s="13" t="s">
        <v>270</v>
      </c>
      <c r="T20" s="13" t="s">
        <v>271</v>
      </c>
      <c r="U20" s="13" t="s">
        <v>272</v>
      </c>
      <c r="V20" s="13" t="s">
        <v>273</v>
      </c>
      <c r="W20" s="15" t="s">
        <v>274</v>
      </c>
    </row>
    <row r="21" customFormat="false" ht="32.8" hidden="false" customHeight="false" outlineLevel="0" collapsed="false">
      <c r="A21" s="13" t="s">
        <v>275</v>
      </c>
      <c r="B21" s="13" t="s">
        <v>276</v>
      </c>
      <c r="C21" s="13" t="s">
        <v>55</v>
      </c>
      <c r="D21" s="14"/>
      <c r="E21" s="14"/>
      <c r="F21" s="14"/>
      <c r="G21" s="13" t="s">
        <v>56</v>
      </c>
      <c r="H21" s="13" t="s">
        <v>265</v>
      </c>
      <c r="I21" s="13" t="s">
        <v>58</v>
      </c>
      <c r="J21" s="13" t="n">
        <v>2</v>
      </c>
      <c r="K21" s="13" t="s">
        <v>59</v>
      </c>
      <c r="L21" s="13" t="s">
        <v>131</v>
      </c>
      <c r="M21" s="13" t="s">
        <v>98</v>
      </c>
      <c r="N21" s="13" t="s">
        <v>277</v>
      </c>
      <c r="O21" s="13" t="s">
        <v>267</v>
      </c>
      <c r="P21" s="13" t="s">
        <v>268</v>
      </c>
      <c r="Q21" s="13" t="s">
        <v>101</v>
      </c>
      <c r="R21" s="13" t="s">
        <v>278</v>
      </c>
      <c r="S21" s="13" t="s">
        <v>279</v>
      </c>
      <c r="T21" s="13" t="s">
        <v>271</v>
      </c>
      <c r="U21" s="13" t="s">
        <v>280</v>
      </c>
      <c r="V21" s="13" t="s">
        <v>281</v>
      </c>
      <c r="W21" s="15" t="s">
        <v>282</v>
      </c>
    </row>
    <row r="22" customFormat="false" ht="32.8" hidden="false" customHeight="false" outlineLevel="0" collapsed="false">
      <c r="A22" s="13" t="s">
        <v>283</v>
      </c>
      <c r="B22" s="13" t="s">
        <v>284</v>
      </c>
      <c r="C22" s="13" t="s">
        <v>55</v>
      </c>
      <c r="D22" s="14"/>
      <c r="E22" s="14"/>
      <c r="F22" s="14"/>
      <c r="G22" s="13" t="s">
        <v>56</v>
      </c>
      <c r="H22" s="13" t="s">
        <v>265</v>
      </c>
      <c r="I22" s="13" t="s">
        <v>58</v>
      </c>
      <c r="J22" s="13" t="n">
        <v>2</v>
      </c>
      <c r="K22" s="13" t="s">
        <v>59</v>
      </c>
      <c r="L22" s="13" t="s">
        <v>60</v>
      </c>
      <c r="M22" s="13" t="s">
        <v>98</v>
      </c>
      <c r="N22" s="13" t="s">
        <v>285</v>
      </c>
      <c r="O22" s="13" t="s">
        <v>267</v>
      </c>
      <c r="P22" s="13" t="s">
        <v>268</v>
      </c>
      <c r="Q22" s="13" t="s">
        <v>101</v>
      </c>
      <c r="R22" s="13" t="s">
        <v>286</v>
      </c>
      <c r="S22" s="13" t="s">
        <v>287</v>
      </c>
      <c r="T22" s="13" t="s">
        <v>271</v>
      </c>
      <c r="U22" s="13" t="s">
        <v>288</v>
      </c>
      <c r="V22" s="13" t="s">
        <v>289</v>
      </c>
      <c r="W22" s="15" t="s">
        <v>290</v>
      </c>
    </row>
    <row r="23" customFormat="false" ht="43.25" hidden="false" customHeight="false" outlineLevel="0" collapsed="false">
      <c r="A23" s="13" t="s">
        <v>291</v>
      </c>
      <c r="B23" s="13" t="s">
        <v>292</v>
      </c>
      <c r="C23" s="13" t="s">
        <v>55</v>
      </c>
      <c r="D23" s="14"/>
      <c r="E23" s="14"/>
      <c r="F23" s="14"/>
      <c r="G23" s="13" t="s">
        <v>253</v>
      </c>
      <c r="H23" s="13" t="s">
        <v>293</v>
      </c>
      <c r="I23" s="13" t="s">
        <v>198</v>
      </c>
      <c r="J23" s="13" t="n">
        <v>3</v>
      </c>
      <c r="K23" s="13" t="s">
        <v>59</v>
      </c>
      <c r="L23" s="13" t="s">
        <v>60</v>
      </c>
      <c r="M23" s="13" t="s">
        <v>98</v>
      </c>
      <c r="N23" s="13" t="s">
        <v>294</v>
      </c>
      <c r="O23" s="13" t="s">
        <v>267</v>
      </c>
      <c r="P23" s="13" t="s">
        <v>295</v>
      </c>
      <c r="Q23" s="13" t="s">
        <v>101</v>
      </c>
      <c r="R23" s="13" t="s">
        <v>296</v>
      </c>
      <c r="S23" s="13" t="s">
        <v>297</v>
      </c>
      <c r="T23" s="13" t="s">
        <v>271</v>
      </c>
      <c r="U23" s="13" t="s">
        <v>298</v>
      </c>
      <c r="V23" s="13" t="s">
        <v>289</v>
      </c>
      <c r="W23" s="15" t="s">
        <v>299</v>
      </c>
    </row>
    <row r="24" customFormat="false" ht="32.8" hidden="false" customHeight="false" outlineLevel="0" collapsed="false">
      <c r="A24" s="13" t="s">
        <v>300</v>
      </c>
      <c r="B24" s="13" t="s">
        <v>301</v>
      </c>
      <c r="C24" s="13" t="s">
        <v>55</v>
      </c>
      <c r="D24" s="14"/>
      <c r="E24" s="14"/>
      <c r="F24" s="14"/>
      <c r="G24" s="13" t="s">
        <v>253</v>
      </c>
      <c r="H24" s="13" t="s">
        <v>302</v>
      </c>
      <c r="I24" s="13" t="s">
        <v>198</v>
      </c>
      <c r="J24" s="13" t="n">
        <v>4</v>
      </c>
      <c r="K24" s="13" t="s">
        <v>59</v>
      </c>
      <c r="L24" s="13" t="s">
        <v>60</v>
      </c>
      <c r="M24" s="13" t="s">
        <v>132</v>
      </c>
      <c r="N24" s="13" t="s">
        <v>303</v>
      </c>
      <c r="O24" s="13" t="s">
        <v>304</v>
      </c>
      <c r="P24" s="13" t="s">
        <v>305</v>
      </c>
      <c r="Q24" s="13" t="s">
        <v>101</v>
      </c>
      <c r="R24" s="13" t="s">
        <v>306</v>
      </c>
      <c r="S24" s="13" t="s">
        <v>307</v>
      </c>
      <c r="T24" s="13" t="s">
        <v>271</v>
      </c>
      <c r="U24" s="13" t="s">
        <v>308</v>
      </c>
      <c r="V24" s="13" t="s">
        <v>309</v>
      </c>
      <c r="W24" s="15" t="s">
        <v>310</v>
      </c>
    </row>
    <row r="25" customFormat="false" ht="43.25" hidden="false" customHeight="false" outlineLevel="0" collapsed="false">
      <c r="A25" s="13" t="s">
        <v>311</v>
      </c>
      <c r="B25" s="13" t="s">
        <v>312</v>
      </c>
      <c r="C25" s="13" t="s">
        <v>55</v>
      </c>
      <c r="D25" s="14"/>
      <c r="E25" s="14"/>
      <c r="F25" s="14"/>
      <c r="G25" s="13" t="s">
        <v>253</v>
      </c>
      <c r="H25" s="13" t="s">
        <v>313</v>
      </c>
      <c r="I25" s="13" t="s">
        <v>198</v>
      </c>
      <c r="J25" s="13" t="n">
        <v>4</v>
      </c>
      <c r="K25" s="13" t="s">
        <v>59</v>
      </c>
      <c r="L25" s="13" t="s">
        <v>60</v>
      </c>
      <c r="M25" s="13" t="s">
        <v>132</v>
      </c>
      <c r="N25" s="13" t="s">
        <v>314</v>
      </c>
      <c r="O25" s="13" t="s">
        <v>315</v>
      </c>
      <c r="P25" s="13" t="s">
        <v>316</v>
      </c>
      <c r="Q25" s="13" t="s">
        <v>101</v>
      </c>
      <c r="R25" s="13" t="s">
        <v>317</v>
      </c>
      <c r="S25" s="13" t="s">
        <v>318</v>
      </c>
      <c r="T25" s="13" t="s">
        <v>271</v>
      </c>
      <c r="U25" s="13" t="s">
        <v>319</v>
      </c>
      <c r="V25" s="13" t="s">
        <v>320</v>
      </c>
      <c r="W25" s="15" t="s">
        <v>321</v>
      </c>
    </row>
    <row r="26" customFormat="false" ht="32.8" hidden="false" customHeight="false" outlineLevel="0" collapsed="false">
      <c r="A26" s="13" t="s">
        <v>322</v>
      </c>
      <c r="B26" s="13" t="s">
        <v>323</v>
      </c>
      <c r="C26" s="13" t="s">
        <v>55</v>
      </c>
      <c r="D26" s="14"/>
      <c r="E26" s="14"/>
      <c r="F26" s="14"/>
      <c r="G26" s="13" t="s">
        <v>253</v>
      </c>
      <c r="H26" s="13" t="s">
        <v>302</v>
      </c>
      <c r="I26" s="13" t="s">
        <v>58</v>
      </c>
      <c r="J26" s="13" t="n">
        <v>3</v>
      </c>
      <c r="K26" s="13" t="s">
        <v>59</v>
      </c>
      <c r="L26" s="13" t="s">
        <v>131</v>
      </c>
      <c r="M26" s="13" t="s">
        <v>98</v>
      </c>
      <c r="N26" s="13" t="s">
        <v>324</v>
      </c>
      <c r="O26" s="13" t="s">
        <v>304</v>
      </c>
      <c r="P26" s="13" t="s">
        <v>305</v>
      </c>
      <c r="Q26" s="13" t="s">
        <v>101</v>
      </c>
      <c r="R26" s="13" t="s">
        <v>325</v>
      </c>
      <c r="S26" s="13" t="s">
        <v>326</v>
      </c>
      <c r="T26" s="13" t="s">
        <v>271</v>
      </c>
      <c r="U26" s="13" t="s">
        <v>327</v>
      </c>
      <c r="V26" s="13" t="s">
        <v>328</v>
      </c>
      <c r="W26" s="15" t="s">
        <v>329</v>
      </c>
    </row>
    <row r="27" customFormat="false" ht="32.8" hidden="false" customHeight="false" outlineLevel="0" collapsed="false">
      <c r="A27" s="13" t="s">
        <v>330</v>
      </c>
      <c r="B27" s="13" t="s">
        <v>331</v>
      </c>
      <c r="C27" s="13" t="s">
        <v>55</v>
      </c>
      <c r="D27" s="14"/>
      <c r="E27" s="14"/>
      <c r="F27" s="14"/>
      <c r="G27" s="13" t="s">
        <v>56</v>
      </c>
      <c r="H27" s="13" t="s">
        <v>332</v>
      </c>
      <c r="I27" s="13" t="s">
        <v>58</v>
      </c>
      <c r="J27" s="13" t="n">
        <v>2</v>
      </c>
      <c r="K27" s="13" t="s">
        <v>59</v>
      </c>
      <c r="L27" s="13" t="s">
        <v>199</v>
      </c>
      <c r="M27" s="13" t="s">
        <v>61</v>
      </c>
      <c r="N27" s="13" t="s">
        <v>333</v>
      </c>
      <c r="O27" s="13" t="s">
        <v>334</v>
      </c>
      <c r="P27" s="13" t="s">
        <v>335</v>
      </c>
      <c r="Q27" s="13" t="s">
        <v>336</v>
      </c>
      <c r="R27" s="13" t="s">
        <v>337</v>
      </c>
      <c r="S27" s="13" t="s">
        <v>338</v>
      </c>
      <c r="T27" s="13" t="s">
        <v>339</v>
      </c>
      <c r="U27" s="13" t="s">
        <v>340</v>
      </c>
      <c r="V27" s="13" t="s">
        <v>341</v>
      </c>
      <c r="W27" s="15" t="s">
        <v>342</v>
      </c>
    </row>
    <row r="28" customFormat="false" ht="32.8" hidden="false" customHeight="false" outlineLevel="0" collapsed="false">
      <c r="A28" s="13" t="s">
        <v>343</v>
      </c>
      <c r="B28" s="13" t="s">
        <v>344</v>
      </c>
      <c r="C28" s="13" t="s">
        <v>55</v>
      </c>
      <c r="D28" s="14"/>
      <c r="E28" s="14"/>
      <c r="F28" s="14"/>
      <c r="G28" s="13" t="s">
        <v>56</v>
      </c>
      <c r="H28" s="13" t="s">
        <v>313</v>
      </c>
      <c r="I28" s="13" t="s">
        <v>58</v>
      </c>
      <c r="J28" s="13" t="n">
        <v>3</v>
      </c>
      <c r="K28" s="13" t="s">
        <v>59</v>
      </c>
      <c r="L28" s="13" t="s">
        <v>199</v>
      </c>
      <c r="M28" s="13" t="s">
        <v>98</v>
      </c>
      <c r="N28" s="13" t="s">
        <v>345</v>
      </c>
      <c r="O28" s="13" t="s">
        <v>346</v>
      </c>
      <c r="P28" s="13" t="s">
        <v>347</v>
      </c>
      <c r="Q28" s="13" t="s">
        <v>336</v>
      </c>
      <c r="R28" s="13" t="s">
        <v>348</v>
      </c>
      <c r="S28" s="13" t="s">
        <v>349</v>
      </c>
      <c r="T28" s="13" t="s">
        <v>350</v>
      </c>
      <c r="U28" s="13" t="s">
        <v>351</v>
      </c>
      <c r="V28" s="13" t="s">
        <v>352</v>
      </c>
      <c r="W28" s="15" t="s">
        <v>353</v>
      </c>
    </row>
    <row r="29" customFormat="false" ht="32.8" hidden="false" customHeight="false" outlineLevel="0" collapsed="false">
      <c r="A29" s="13" t="s">
        <v>354</v>
      </c>
      <c r="B29" s="13" t="s">
        <v>355</v>
      </c>
      <c r="C29" s="13" t="s">
        <v>55</v>
      </c>
      <c r="D29" s="14"/>
      <c r="E29" s="14"/>
      <c r="F29" s="14"/>
      <c r="G29" s="13" t="s">
        <v>56</v>
      </c>
      <c r="H29" s="13" t="s">
        <v>302</v>
      </c>
      <c r="I29" s="13" t="s">
        <v>58</v>
      </c>
      <c r="J29" s="13" t="n">
        <v>2</v>
      </c>
      <c r="K29" s="13" t="s">
        <v>59</v>
      </c>
      <c r="L29" s="13" t="s">
        <v>199</v>
      </c>
      <c r="M29" s="13" t="s">
        <v>61</v>
      </c>
      <c r="N29" s="13" t="s">
        <v>356</v>
      </c>
      <c r="O29" s="13" t="s">
        <v>357</v>
      </c>
      <c r="P29" s="13"/>
      <c r="Q29" s="13" t="s">
        <v>336</v>
      </c>
      <c r="R29" s="13" t="s">
        <v>358</v>
      </c>
      <c r="S29" s="13" t="s">
        <v>359</v>
      </c>
      <c r="T29" s="13" t="s">
        <v>223</v>
      </c>
      <c r="U29" s="13" t="s">
        <v>360</v>
      </c>
      <c r="V29" s="13" t="s">
        <v>361</v>
      </c>
      <c r="W29" s="15" t="s">
        <v>362</v>
      </c>
    </row>
    <row r="30" customFormat="false" ht="32.8" hidden="false" customHeight="false" outlineLevel="0" collapsed="false">
      <c r="A30" s="13" t="s">
        <v>363</v>
      </c>
      <c r="B30" s="13" t="s">
        <v>364</v>
      </c>
      <c r="C30" s="13" t="s">
        <v>55</v>
      </c>
      <c r="D30" s="14"/>
      <c r="E30" s="14"/>
      <c r="F30" s="14"/>
      <c r="G30" s="13" t="s">
        <v>56</v>
      </c>
      <c r="H30" s="13" t="s">
        <v>302</v>
      </c>
      <c r="I30" s="13" t="s">
        <v>58</v>
      </c>
      <c r="J30" s="13" t="n">
        <v>2</v>
      </c>
      <c r="K30" s="13" t="s">
        <v>59</v>
      </c>
      <c r="L30" s="13" t="s">
        <v>199</v>
      </c>
      <c r="M30" s="13" t="s">
        <v>61</v>
      </c>
      <c r="N30" s="13" t="s">
        <v>365</v>
      </c>
      <c r="O30" s="13" t="s">
        <v>304</v>
      </c>
      <c r="P30" s="13"/>
      <c r="Q30" s="13" t="s">
        <v>336</v>
      </c>
      <c r="R30" s="13" t="s">
        <v>366</v>
      </c>
      <c r="S30" s="13" t="s">
        <v>367</v>
      </c>
      <c r="T30" s="13" t="s">
        <v>368</v>
      </c>
      <c r="U30" s="13" t="s">
        <v>369</v>
      </c>
      <c r="V30" s="13" t="s">
        <v>370</v>
      </c>
      <c r="W30" s="15" t="s">
        <v>371</v>
      </c>
    </row>
    <row r="31" customFormat="false" ht="32.8" hidden="false" customHeight="false" outlineLevel="0" collapsed="false">
      <c r="A31" s="13" t="s">
        <v>372</v>
      </c>
      <c r="B31" s="13" t="s">
        <v>373</v>
      </c>
      <c r="C31" s="13" t="s">
        <v>55</v>
      </c>
      <c r="D31" s="14"/>
      <c r="E31" s="14"/>
      <c r="F31" s="14"/>
      <c r="G31" s="13" t="s">
        <v>56</v>
      </c>
      <c r="H31" s="13" t="s">
        <v>374</v>
      </c>
      <c r="I31" s="13" t="s">
        <v>58</v>
      </c>
      <c r="J31" s="13" t="n">
        <v>2</v>
      </c>
      <c r="K31" s="13" t="s">
        <v>59</v>
      </c>
      <c r="L31" s="13" t="s">
        <v>199</v>
      </c>
      <c r="M31" s="13" t="s">
        <v>61</v>
      </c>
      <c r="N31" s="13" t="s">
        <v>375</v>
      </c>
      <c r="O31" s="13" t="s">
        <v>376</v>
      </c>
      <c r="P31" s="13" t="s">
        <v>377</v>
      </c>
      <c r="Q31" s="13" t="s">
        <v>336</v>
      </c>
      <c r="R31" s="13" t="s">
        <v>378</v>
      </c>
      <c r="S31" s="13" t="s">
        <v>379</v>
      </c>
      <c r="T31" s="13" t="s">
        <v>380</v>
      </c>
      <c r="U31" s="13" t="s">
        <v>381</v>
      </c>
      <c r="V31" s="13" t="s">
        <v>382</v>
      </c>
      <c r="W31" s="15" t="s">
        <v>383</v>
      </c>
    </row>
    <row r="32" customFormat="false" ht="32.8" hidden="false" customHeight="false" outlineLevel="0" collapsed="false">
      <c r="A32" s="13" t="s">
        <v>384</v>
      </c>
      <c r="B32" s="13" t="s">
        <v>385</v>
      </c>
      <c r="C32" s="13" t="s">
        <v>55</v>
      </c>
      <c r="D32" s="14"/>
      <c r="E32" s="14"/>
      <c r="F32" s="14"/>
      <c r="G32" s="13" t="s">
        <v>56</v>
      </c>
      <c r="H32" s="13" t="s">
        <v>265</v>
      </c>
      <c r="I32" s="13" t="s">
        <v>198</v>
      </c>
      <c r="J32" s="13" t="n">
        <v>2</v>
      </c>
      <c r="K32" s="13" t="s">
        <v>59</v>
      </c>
      <c r="L32" s="13" t="s">
        <v>199</v>
      </c>
      <c r="M32" s="13" t="s">
        <v>61</v>
      </c>
      <c r="N32" s="13" t="s">
        <v>386</v>
      </c>
      <c r="O32" s="13" t="s">
        <v>267</v>
      </c>
      <c r="P32" s="13" t="s">
        <v>387</v>
      </c>
      <c r="Q32" s="13" t="s">
        <v>336</v>
      </c>
      <c r="R32" s="13" t="s">
        <v>388</v>
      </c>
      <c r="S32" s="13" t="s">
        <v>389</v>
      </c>
      <c r="T32" s="13" t="s">
        <v>350</v>
      </c>
      <c r="U32" s="13" t="s">
        <v>390</v>
      </c>
      <c r="V32" s="13" t="s">
        <v>391</v>
      </c>
      <c r="W32" s="15" t="s">
        <v>392</v>
      </c>
    </row>
    <row r="33" customFormat="false" ht="32.8" hidden="false" customHeight="false" outlineLevel="0" collapsed="false">
      <c r="A33" s="13" t="s">
        <v>393</v>
      </c>
      <c r="B33" s="13" t="s">
        <v>394</v>
      </c>
      <c r="C33" s="13" t="s">
        <v>55</v>
      </c>
      <c r="D33" s="14"/>
      <c r="E33" s="14"/>
      <c r="F33" s="14"/>
      <c r="G33" s="13" t="s">
        <v>56</v>
      </c>
      <c r="H33" s="13" t="s">
        <v>332</v>
      </c>
      <c r="I33" s="13" t="s">
        <v>58</v>
      </c>
      <c r="J33" s="13" t="n">
        <v>2</v>
      </c>
      <c r="K33" s="13" t="s">
        <v>59</v>
      </c>
      <c r="L33" s="13" t="s">
        <v>395</v>
      </c>
      <c r="M33" s="13" t="s">
        <v>61</v>
      </c>
      <c r="N33" s="13" t="s">
        <v>396</v>
      </c>
      <c r="O33" s="13" t="s">
        <v>397</v>
      </c>
      <c r="P33" s="13" t="s">
        <v>398</v>
      </c>
      <c r="Q33" s="13" t="s">
        <v>336</v>
      </c>
      <c r="R33" s="13" t="s">
        <v>399</v>
      </c>
      <c r="S33" s="13" t="s">
        <v>400</v>
      </c>
      <c r="T33" s="13" t="s">
        <v>401</v>
      </c>
      <c r="U33" s="13" t="s">
        <v>402</v>
      </c>
      <c r="V33" s="13" t="s">
        <v>403</v>
      </c>
      <c r="W33" s="15" t="s">
        <v>404</v>
      </c>
    </row>
    <row r="34" customFormat="false" ht="32.8" hidden="false" customHeight="false" outlineLevel="0" collapsed="false">
      <c r="A34" s="13" t="s">
        <v>405</v>
      </c>
      <c r="B34" s="13" t="s">
        <v>406</v>
      </c>
      <c r="C34" s="13" t="s">
        <v>55</v>
      </c>
      <c r="D34" s="14"/>
      <c r="E34" s="14"/>
      <c r="F34" s="14"/>
      <c r="G34" s="13" t="s">
        <v>56</v>
      </c>
      <c r="H34" s="13" t="s">
        <v>407</v>
      </c>
      <c r="I34" s="13" t="s">
        <v>58</v>
      </c>
      <c r="J34" s="13" t="n">
        <v>2</v>
      </c>
      <c r="K34" s="13" t="s">
        <v>59</v>
      </c>
      <c r="L34" s="13" t="s">
        <v>395</v>
      </c>
      <c r="M34" s="13" t="s">
        <v>61</v>
      </c>
      <c r="N34" s="13" t="s">
        <v>408</v>
      </c>
      <c r="O34" s="13" t="s">
        <v>346</v>
      </c>
      <c r="P34" s="13" t="s">
        <v>304</v>
      </c>
      <c r="Q34" s="13" t="s">
        <v>336</v>
      </c>
      <c r="R34" s="13" t="s">
        <v>409</v>
      </c>
      <c r="S34" s="13" t="s">
        <v>410</v>
      </c>
      <c r="T34" s="13" t="s">
        <v>350</v>
      </c>
      <c r="U34" s="13" t="s">
        <v>411</v>
      </c>
      <c r="V34" s="13" t="s">
        <v>412</v>
      </c>
      <c r="W34" s="15" t="s">
        <v>413</v>
      </c>
    </row>
    <row r="35" customFormat="false" ht="32.8" hidden="false" customHeight="false" outlineLevel="0" collapsed="false">
      <c r="A35" s="13" t="s">
        <v>414</v>
      </c>
      <c r="B35" s="13" t="s">
        <v>415</v>
      </c>
      <c r="C35" s="13" t="s">
        <v>55</v>
      </c>
      <c r="D35" s="14"/>
      <c r="E35" s="14"/>
      <c r="F35" s="14"/>
      <c r="G35" s="13" t="s">
        <v>56</v>
      </c>
      <c r="H35" s="13" t="s">
        <v>416</v>
      </c>
      <c r="I35" s="13" t="s">
        <v>198</v>
      </c>
      <c r="J35" s="13" t="n">
        <v>2</v>
      </c>
      <c r="K35" s="13" t="s">
        <v>59</v>
      </c>
      <c r="L35" s="13" t="s">
        <v>60</v>
      </c>
      <c r="M35" s="13" t="s">
        <v>98</v>
      </c>
      <c r="N35" s="13" t="s">
        <v>417</v>
      </c>
      <c r="O35" s="13" t="s">
        <v>418</v>
      </c>
      <c r="P35" s="13" t="s">
        <v>419</v>
      </c>
      <c r="Q35" s="13" t="s">
        <v>420</v>
      </c>
      <c r="R35" s="13" t="s">
        <v>421</v>
      </c>
      <c r="S35" s="13" t="s">
        <v>422</v>
      </c>
      <c r="T35" s="13" t="s">
        <v>223</v>
      </c>
      <c r="U35" s="13" t="s">
        <v>423</v>
      </c>
      <c r="V35" s="13" t="s">
        <v>424</v>
      </c>
      <c r="W35" s="15" t="s">
        <v>425</v>
      </c>
    </row>
    <row r="36" customFormat="false" ht="43.25" hidden="false" customHeight="false" outlineLevel="0" collapsed="false">
      <c r="A36" s="13" t="s">
        <v>426</v>
      </c>
      <c r="B36" s="13" t="s">
        <v>427</v>
      </c>
      <c r="C36" s="13" t="s">
        <v>55</v>
      </c>
      <c r="D36" s="14"/>
      <c r="E36" s="14"/>
      <c r="F36" s="14"/>
      <c r="G36" s="13" t="s">
        <v>56</v>
      </c>
      <c r="H36" s="13" t="s">
        <v>428</v>
      </c>
      <c r="I36" s="13" t="s">
        <v>186</v>
      </c>
      <c r="J36" s="13" t="n">
        <v>2</v>
      </c>
      <c r="K36" s="13" t="s">
        <v>59</v>
      </c>
      <c r="L36" s="13" t="s">
        <v>60</v>
      </c>
      <c r="M36" s="13" t="s">
        <v>429</v>
      </c>
      <c r="N36" s="13" t="s">
        <v>430</v>
      </c>
      <c r="O36" s="13" t="s">
        <v>431</v>
      </c>
      <c r="P36" s="13" t="s">
        <v>432</v>
      </c>
      <c r="Q36" s="13" t="s">
        <v>420</v>
      </c>
      <c r="R36" s="13" t="s">
        <v>433</v>
      </c>
      <c r="S36" s="13" t="s">
        <v>434</v>
      </c>
      <c r="T36" s="13" t="s">
        <v>435</v>
      </c>
      <c r="U36" s="13" t="s">
        <v>436</v>
      </c>
      <c r="V36" s="13" t="s">
        <v>437</v>
      </c>
      <c r="W36" s="15" t="s">
        <v>438</v>
      </c>
    </row>
    <row r="37" customFormat="false" ht="32.8" hidden="false" customHeight="false" outlineLevel="0" collapsed="false">
      <c r="A37" s="13" t="s">
        <v>439</v>
      </c>
      <c r="B37" s="13" t="s">
        <v>440</v>
      </c>
      <c r="C37" s="13" t="s">
        <v>55</v>
      </c>
      <c r="D37" s="14"/>
      <c r="E37" s="14"/>
      <c r="F37" s="14"/>
      <c r="G37" s="13" t="s">
        <v>253</v>
      </c>
      <c r="H37" s="13" t="s">
        <v>332</v>
      </c>
      <c r="I37" s="13" t="s">
        <v>198</v>
      </c>
      <c r="J37" s="13" t="n">
        <v>4</v>
      </c>
      <c r="K37" s="13" t="s">
        <v>59</v>
      </c>
      <c r="L37" s="13" t="s">
        <v>60</v>
      </c>
      <c r="M37" s="13" t="s">
        <v>132</v>
      </c>
      <c r="N37" s="13" t="s">
        <v>441</v>
      </c>
      <c r="O37" s="13" t="s">
        <v>334</v>
      </c>
      <c r="P37" s="13" t="s">
        <v>442</v>
      </c>
      <c r="Q37" s="13" t="s">
        <v>101</v>
      </c>
      <c r="R37" s="13" t="s">
        <v>443</v>
      </c>
      <c r="S37" s="13" t="s">
        <v>444</v>
      </c>
      <c r="T37" s="13" t="s">
        <v>445</v>
      </c>
      <c r="U37" s="13" t="s">
        <v>446</v>
      </c>
      <c r="V37" s="13" t="s">
        <v>447</v>
      </c>
      <c r="W37" s="15" t="s">
        <v>448</v>
      </c>
    </row>
    <row r="38" customFormat="false" ht="32.8" hidden="false" customHeight="false" outlineLevel="0" collapsed="false">
      <c r="A38" s="13" t="s">
        <v>449</v>
      </c>
      <c r="B38" s="13" t="s">
        <v>450</v>
      </c>
      <c r="C38" s="13" t="s">
        <v>55</v>
      </c>
      <c r="D38" s="14"/>
      <c r="E38" s="14"/>
      <c r="F38" s="14"/>
      <c r="G38" s="13" t="s">
        <v>56</v>
      </c>
      <c r="H38" s="13" t="s">
        <v>451</v>
      </c>
      <c r="I38" s="13" t="s">
        <v>164</v>
      </c>
      <c r="J38" s="13" t="n">
        <v>2</v>
      </c>
      <c r="K38" s="13" t="s">
        <v>59</v>
      </c>
      <c r="L38" s="13" t="s">
        <v>60</v>
      </c>
      <c r="M38" s="13" t="s">
        <v>229</v>
      </c>
      <c r="N38" s="13" t="s">
        <v>452</v>
      </c>
      <c r="O38" s="13" t="s">
        <v>453</v>
      </c>
      <c r="P38" s="13" t="s">
        <v>454</v>
      </c>
      <c r="Q38" s="13" t="s">
        <v>244</v>
      </c>
      <c r="R38" s="13" t="s">
        <v>455</v>
      </c>
      <c r="S38" s="13" t="s">
        <v>456</v>
      </c>
      <c r="T38" s="13" t="s">
        <v>148</v>
      </c>
      <c r="U38" s="13" t="s">
        <v>457</v>
      </c>
      <c r="V38" s="13" t="s">
        <v>458</v>
      </c>
      <c r="W38" s="15" t="s">
        <v>459</v>
      </c>
    </row>
    <row r="39" customFormat="false" ht="43.25" hidden="false" customHeight="false" outlineLevel="0" collapsed="false">
      <c r="A39" s="13" t="s">
        <v>460</v>
      </c>
      <c r="B39" s="13" t="s">
        <v>461</v>
      </c>
      <c r="C39" s="13" t="s">
        <v>55</v>
      </c>
      <c r="D39" s="14"/>
      <c r="E39" s="14"/>
      <c r="F39" s="14"/>
      <c r="G39" s="13" t="s">
        <v>56</v>
      </c>
      <c r="H39" s="13" t="s">
        <v>451</v>
      </c>
      <c r="I39" s="13" t="s">
        <v>164</v>
      </c>
      <c r="J39" s="13" t="n">
        <v>2</v>
      </c>
      <c r="K39" s="13" t="s">
        <v>59</v>
      </c>
      <c r="L39" s="13" t="s">
        <v>60</v>
      </c>
      <c r="M39" s="13" t="s">
        <v>61</v>
      </c>
      <c r="N39" s="13" t="s">
        <v>462</v>
      </c>
      <c r="O39" s="13" t="s">
        <v>453</v>
      </c>
      <c r="P39" s="13" t="s">
        <v>463</v>
      </c>
      <c r="Q39" s="13" t="s">
        <v>244</v>
      </c>
      <c r="R39" s="13" t="s">
        <v>464</v>
      </c>
      <c r="S39" s="13" t="s">
        <v>465</v>
      </c>
      <c r="T39" s="13" t="s">
        <v>466</v>
      </c>
      <c r="U39" s="13" t="s">
        <v>467</v>
      </c>
      <c r="V39" s="13" t="s">
        <v>468</v>
      </c>
      <c r="W39" s="15" t="s">
        <v>469</v>
      </c>
    </row>
    <row r="40" customFormat="false" ht="64.15" hidden="false" customHeight="false" outlineLevel="0" collapsed="false">
      <c r="A40" s="13" t="s">
        <v>470</v>
      </c>
      <c r="B40" s="13" t="s">
        <v>471</v>
      </c>
      <c r="C40" s="13" t="s">
        <v>55</v>
      </c>
      <c r="D40" s="14"/>
      <c r="E40" s="14"/>
      <c r="F40" s="14"/>
      <c r="G40" s="13" t="s">
        <v>56</v>
      </c>
      <c r="H40" s="13" t="s">
        <v>451</v>
      </c>
      <c r="I40" s="13" t="s">
        <v>164</v>
      </c>
      <c r="J40" s="13" t="n">
        <v>3</v>
      </c>
      <c r="K40" s="13" t="s">
        <v>59</v>
      </c>
      <c r="L40" s="13" t="s">
        <v>60</v>
      </c>
      <c r="M40" s="13" t="s">
        <v>472</v>
      </c>
      <c r="N40" s="13" t="s">
        <v>473</v>
      </c>
      <c r="O40" s="13" t="s">
        <v>474</v>
      </c>
      <c r="P40" s="13" t="s">
        <v>475</v>
      </c>
      <c r="Q40" s="13" t="s">
        <v>244</v>
      </c>
      <c r="R40" s="13" t="s">
        <v>476</v>
      </c>
      <c r="S40" s="13" t="s">
        <v>477</v>
      </c>
      <c r="T40" s="13" t="s">
        <v>478</v>
      </c>
      <c r="U40" s="13" t="s">
        <v>479</v>
      </c>
      <c r="V40" s="13" t="s">
        <v>480</v>
      </c>
      <c r="W40" s="15" t="s">
        <v>481</v>
      </c>
    </row>
    <row r="41" customFormat="false" ht="32.8" hidden="false" customHeight="false" outlineLevel="0" collapsed="false">
      <c r="A41" s="13" t="s">
        <v>482</v>
      </c>
      <c r="B41" s="13" t="s">
        <v>483</v>
      </c>
      <c r="C41" s="13" t="s">
        <v>55</v>
      </c>
      <c r="D41" s="14"/>
      <c r="E41" s="14"/>
      <c r="F41" s="14"/>
      <c r="G41" s="13" t="s">
        <v>56</v>
      </c>
      <c r="H41" s="13" t="s">
        <v>451</v>
      </c>
      <c r="I41" s="13" t="s">
        <v>198</v>
      </c>
      <c r="J41" s="13" t="n">
        <v>3</v>
      </c>
      <c r="K41" s="13" t="s">
        <v>59</v>
      </c>
      <c r="L41" s="13" t="s">
        <v>60</v>
      </c>
      <c r="M41" s="13" t="s">
        <v>98</v>
      </c>
      <c r="N41" s="13" t="s">
        <v>484</v>
      </c>
      <c r="O41" s="13" t="s">
        <v>485</v>
      </c>
      <c r="P41" s="13" t="s">
        <v>232</v>
      </c>
      <c r="Q41" s="13" t="s">
        <v>244</v>
      </c>
      <c r="R41" s="13" t="s">
        <v>486</v>
      </c>
      <c r="S41" s="13" t="s">
        <v>487</v>
      </c>
      <c r="T41" s="13" t="s">
        <v>223</v>
      </c>
      <c r="U41" s="13" t="s">
        <v>488</v>
      </c>
      <c r="V41" s="13" t="s">
        <v>489</v>
      </c>
      <c r="W41" s="15" t="s">
        <v>490</v>
      </c>
    </row>
    <row r="42" customFormat="false" ht="64.15" hidden="false" customHeight="false" outlineLevel="0" collapsed="false">
      <c r="A42" s="13" t="s">
        <v>491</v>
      </c>
      <c r="B42" s="13" t="s">
        <v>492</v>
      </c>
      <c r="C42" s="13" t="s">
        <v>55</v>
      </c>
      <c r="D42" s="14"/>
      <c r="E42" s="14"/>
      <c r="F42" s="14"/>
      <c r="G42" s="13" t="s">
        <v>240</v>
      </c>
      <c r="H42" s="13" t="s">
        <v>451</v>
      </c>
      <c r="I42" s="13" t="s">
        <v>164</v>
      </c>
      <c r="J42" s="13" t="n">
        <v>3</v>
      </c>
      <c r="K42" s="13" t="s">
        <v>59</v>
      </c>
      <c r="L42" s="13" t="s">
        <v>60</v>
      </c>
      <c r="M42" s="13" t="s">
        <v>86</v>
      </c>
      <c r="N42" s="13" t="s">
        <v>493</v>
      </c>
      <c r="O42" s="13" t="s">
        <v>494</v>
      </c>
      <c r="P42" s="13" t="s">
        <v>475</v>
      </c>
      <c r="Q42" s="13" t="s">
        <v>244</v>
      </c>
      <c r="R42" s="13" t="s">
        <v>495</v>
      </c>
      <c r="S42" s="13" t="s">
        <v>496</v>
      </c>
      <c r="T42" s="13" t="s">
        <v>497</v>
      </c>
      <c r="U42" s="13" t="s">
        <v>498</v>
      </c>
      <c r="V42" s="13" t="s">
        <v>499</v>
      </c>
      <c r="W42" s="15" t="s">
        <v>500</v>
      </c>
    </row>
    <row r="43" customFormat="false" ht="32.8" hidden="false" customHeight="false" outlineLevel="0" collapsed="false">
      <c r="A43" s="13" t="s">
        <v>501</v>
      </c>
      <c r="B43" s="13" t="s">
        <v>502</v>
      </c>
      <c r="C43" s="13" t="s">
        <v>55</v>
      </c>
      <c r="D43" s="14"/>
      <c r="E43" s="14"/>
      <c r="F43" s="14"/>
      <c r="G43" s="13" t="s">
        <v>56</v>
      </c>
      <c r="H43" s="13" t="s">
        <v>451</v>
      </c>
      <c r="I43" s="13" t="s">
        <v>503</v>
      </c>
      <c r="J43" s="13" t="n">
        <v>2</v>
      </c>
      <c r="K43" s="13" t="s">
        <v>59</v>
      </c>
      <c r="L43" s="13" t="s">
        <v>60</v>
      </c>
      <c r="M43" s="13" t="s">
        <v>504</v>
      </c>
      <c r="N43" s="13" t="s">
        <v>505</v>
      </c>
      <c r="O43" s="13" t="s">
        <v>454</v>
      </c>
      <c r="P43" s="13" t="s">
        <v>453</v>
      </c>
      <c r="Q43" s="13" t="s">
        <v>244</v>
      </c>
      <c r="R43" s="13" t="s">
        <v>506</v>
      </c>
      <c r="S43" s="13" t="s">
        <v>507</v>
      </c>
      <c r="T43" s="13" t="s">
        <v>508</v>
      </c>
      <c r="U43" s="13" t="s">
        <v>509</v>
      </c>
      <c r="V43" s="13" t="s">
        <v>510</v>
      </c>
      <c r="W43" s="15" t="s">
        <v>511</v>
      </c>
    </row>
    <row r="44" customFormat="false" ht="43.25" hidden="false" customHeight="false" outlineLevel="0" collapsed="false">
      <c r="A44" s="13" t="s">
        <v>512</v>
      </c>
      <c r="B44" s="13" t="s">
        <v>513</v>
      </c>
      <c r="C44" s="13" t="s">
        <v>55</v>
      </c>
      <c r="D44" s="14"/>
      <c r="E44" s="14"/>
      <c r="F44" s="14"/>
      <c r="G44" s="13" t="s">
        <v>56</v>
      </c>
      <c r="H44" s="13" t="s">
        <v>451</v>
      </c>
      <c r="I44" s="13" t="s">
        <v>164</v>
      </c>
      <c r="J44" s="13" t="n">
        <v>3</v>
      </c>
      <c r="K44" s="13" t="s">
        <v>59</v>
      </c>
      <c r="L44" s="13" t="s">
        <v>60</v>
      </c>
      <c r="M44" s="13" t="s">
        <v>472</v>
      </c>
      <c r="N44" s="13" t="s">
        <v>514</v>
      </c>
      <c r="O44" s="13" t="s">
        <v>454</v>
      </c>
      <c r="P44" s="13" t="s">
        <v>494</v>
      </c>
      <c r="Q44" s="13" t="s">
        <v>244</v>
      </c>
      <c r="R44" s="13" t="s">
        <v>515</v>
      </c>
      <c r="S44" s="13" t="s">
        <v>516</v>
      </c>
      <c r="T44" s="13" t="s">
        <v>478</v>
      </c>
      <c r="U44" s="13" t="s">
        <v>517</v>
      </c>
      <c r="V44" s="13" t="s">
        <v>518</v>
      </c>
      <c r="W44" s="15" t="s">
        <v>519</v>
      </c>
    </row>
    <row r="45" customFormat="false" ht="43.25" hidden="false" customHeight="false" outlineLevel="0" collapsed="false">
      <c r="A45" s="13" t="s">
        <v>520</v>
      </c>
      <c r="B45" s="13" t="s">
        <v>521</v>
      </c>
      <c r="C45" s="13" t="s">
        <v>55</v>
      </c>
      <c r="D45" s="14"/>
      <c r="E45" s="14"/>
      <c r="F45" s="14"/>
      <c r="G45" s="13" t="s">
        <v>253</v>
      </c>
      <c r="H45" s="13" t="s">
        <v>451</v>
      </c>
      <c r="I45" s="13" t="s">
        <v>198</v>
      </c>
      <c r="J45" s="13" t="n">
        <v>4</v>
      </c>
      <c r="K45" s="13" t="s">
        <v>59</v>
      </c>
      <c r="L45" s="13" t="s">
        <v>60</v>
      </c>
      <c r="M45" s="13" t="s">
        <v>522</v>
      </c>
      <c r="N45" s="13" t="s">
        <v>523</v>
      </c>
      <c r="O45" s="13" t="s">
        <v>494</v>
      </c>
      <c r="P45" s="13" t="s">
        <v>524</v>
      </c>
      <c r="Q45" s="13" t="s">
        <v>244</v>
      </c>
      <c r="R45" s="13" t="s">
        <v>525</v>
      </c>
      <c r="S45" s="13" t="s">
        <v>526</v>
      </c>
      <c r="T45" s="13" t="s">
        <v>527</v>
      </c>
      <c r="U45" s="13" t="s">
        <v>528</v>
      </c>
      <c r="V45" s="13" t="s">
        <v>529</v>
      </c>
      <c r="W45" s="15" t="s">
        <v>530</v>
      </c>
    </row>
    <row r="46" customFormat="false" ht="32.8" hidden="false" customHeight="false" outlineLevel="0" collapsed="false">
      <c r="A46" s="13" t="s">
        <v>531</v>
      </c>
      <c r="B46" s="13" t="s">
        <v>532</v>
      </c>
      <c r="C46" s="13" t="s">
        <v>55</v>
      </c>
      <c r="D46" s="14"/>
      <c r="E46" s="14"/>
      <c r="F46" s="14"/>
      <c r="G46" s="13" t="s">
        <v>240</v>
      </c>
      <c r="H46" s="13" t="s">
        <v>533</v>
      </c>
      <c r="I46" s="13" t="s">
        <v>198</v>
      </c>
      <c r="J46" s="13" t="n">
        <v>3</v>
      </c>
      <c r="K46" s="13" t="s">
        <v>59</v>
      </c>
      <c r="L46" s="13" t="s">
        <v>60</v>
      </c>
      <c r="M46" s="13" t="s">
        <v>472</v>
      </c>
      <c r="N46" s="13" t="s">
        <v>534</v>
      </c>
      <c r="O46" s="13" t="s">
        <v>535</v>
      </c>
      <c r="P46" s="13" t="s">
        <v>536</v>
      </c>
      <c r="Q46" s="13" t="s">
        <v>244</v>
      </c>
      <c r="R46" s="13" t="s">
        <v>537</v>
      </c>
      <c r="S46" s="13" t="s">
        <v>538</v>
      </c>
      <c r="T46" s="13" t="s">
        <v>539</v>
      </c>
      <c r="U46" s="13" t="s">
        <v>540</v>
      </c>
      <c r="V46" s="13" t="s">
        <v>529</v>
      </c>
      <c r="W46" s="15" t="s">
        <v>541</v>
      </c>
    </row>
    <row r="47" customFormat="false" ht="32.8" hidden="false" customHeight="false" outlineLevel="0" collapsed="false">
      <c r="A47" s="13" t="s">
        <v>542</v>
      </c>
      <c r="B47" s="13" t="s">
        <v>543</v>
      </c>
      <c r="C47" s="13" t="s">
        <v>55</v>
      </c>
      <c r="D47" s="14"/>
      <c r="E47" s="14"/>
      <c r="F47" s="14"/>
      <c r="G47" s="13" t="s">
        <v>240</v>
      </c>
      <c r="H47" s="13" t="s">
        <v>544</v>
      </c>
      <c r="I47" s="13" t="s">
        <v>198</v>
      </c>
      <c r="J47" s="13" t="n">
        <v>4</v>
      </c>
      <c r="K47" s="13" t="s">
        <v>59</v>
      </c>
      <c r="L47" s="13" t="s">
        <v>60</v>
      </c>
      <c r="M47" s="13" t="s">
        <v>98</v>
      </c>
      <c r="N47" s="13" t="s">
        <v>545</v>
      </c>
      <c r="O47" s="13" t="s">
        <v>546</v>
      </c>
      <c r="P47" s="13" t="s">
        <v>547</v>
      </c>
      <c r="Q47" s="13" t="s">
        <v>101</v>
      </c>
      <c r="R47" s="13" t="s">
        <v>548</v>
      </c>
      <c r="S47" s="13" t="s">
        <v>549</v>
      </c>
      <c r="T47" s="13" t="s">
        <v>223</v>
      </c>
      <c r="U47" s="13" t="s">
        <v>550</v>
      </c>
      <c r="V47" s="13" t="s">
        <v>529</v>
      </c>
      <c r="W47" s="15" t="s">
        <v>551</v>
      </c>
    </row>
    <row r="48" customFormat="false" ht="32.8" hidden="false" customHeight="false" outlineLevel="0" collapsed="false">
      <c r="A48" s="13" t="s">
        <v>552</v>
      </c>
      <c r="B48" s="13" t="s">
        <v>553</v>
      </c>
      <c r="C48" s="13" t="s">
        <v>55</v>
      </c>
      <c r="D48" s="14"/>
      <c r="E48" s="14"/>
      <c r="F48" s="14"/>
      <c r="G48" s="13" t="s">
        <v>240</v>
      </c>
      <c r="H48" s="13" t="s">
        <v>554</v>
      </c>
      <c r="I48" s="13" t="s">
        <v>198</v>
      </c>
      <c r="J48" s="13" t="n">
        <v>3</v>
      </c>
      <c r="K48" s="13" t="s">
        <v>59</v>
      </c>
      <c r="L48" s="13" t="s">
        <v>60</v>
      </c>
      <c r="M48" s="13" t="s">
        <v>522</v>
      </c>
      <c r="N48" s="13" t="s">
        <v>555</v>
      </c>
      <c r="O48" s="13" t="s">
        <v>556</v>
      </c>
      <c r="P48" s="13" t="s">
        <v>557</v>
      </c>
      <c r="Q48" s="13" t="s">
        <v>244</v>
      </c>
      <c r="R48" s="13" t="s">
        <v>558</v>
      </c>
      <c r="S48" s="13" t="s">
        <v>559</v>
      </c>
      <c r="T48" s="13" t="s">
        <v>560</v>
      </c>
      <c r="U48" s="13" t="s">
        <v>561</v>
      </c>
      <c r="V48" s="13" t="s">
        <v>562</v>
      </c>
      <c r="W48" s="15" t="s">
        <v>563</v>
      </c>
    </row>
    <row r="49" customFormat="false" ht="32.8" hidden="false" customHeight="false" outlineLevel="0" collapsed="false">
      <c r="A49" s="13" t="s">
        <v>564</v>
      </c>
      <c r="B49" s="13" t="s">
        <v>565</v>
      </c>
      <c r="C49" s="13" t="s">
        <v>55</v>
      </c>
      <c r="D49" s="14"/>
      <c r="E49" s="14"/>
      <c r="F49" s="14"/>
      <c r="G49" s="13" t="s">
        <v>240</v>
      </c>
      <c r="H49" s="13" t="s">
        <v>533</v>
      </c>
      <c r="I49" s="13" t="s">
        <v>198</v>
      </c>
      <c r="J49" s="13" t="n">
        <v>2</v>
      </c>
      <c r="K49" s="13" t="s">
        <v>59</v>
      </c>
      <c r="L49" s="13" t="s">
        <v>60</v>
      </c>
      <c r="M49" s="13" t="s">
        <v>522</v>
      </c>
      <c r="N49" s="13" t="s">
        <v>566</v>
      </c>
      <c r="O49" s="13" t="s">
        <v>567</v>
      </c>
      <c r="P49" s="13" t="s">
        <v>568</v>
      </c>
      <c r="Q49" s="13" t="s">
        <v>244</v>
      </c>
      <c r="R49" s="13" t="s">
        <v>569</v>
      </c>
      <c r="S49" s="13" t="s">
        <v>570</v>
      </c>
      <c r="T49" s="13" t="s">
        <v>571</v>
      </c>
      <c r="U49" s="13" t="s">
        <v>572</v>
      </c>
      <c r="V49" s="13" t="s">
        <v>529</v>
      </c>
      <c r="W49" s="15" t="s">
        <v>573</v>
      </c>
    </row>
    <row r="50" customFormat="false" ht="43.25" hidden="false" customHeight="false" outlineLevel="0" collapsed="false">
      <c r="A50" s="13" t="s">
        <v>574</v>
      </c>
      <c r="B50" s="13" t="s">
        <v>575</v>
      </c>
      <c r="C50" s="13" t="s">
        <v>55</v>
      </c>
      <c r="D50" s="14"/>
      <c r="E50" s="14"/>
      <c r="F50" s="14"/>
      <c r="G50" s="13" t="s">
        <v>240</v>
      </c>
      <c r="H50" s="13" t="s">
        <v>451</v>
      </c>
      <c r="I50" s="13" t="s">
        <v>58</v>
      </c>
      <c r="J50" s="13" t="n">
        <v>4</v>
      </c>
      <c r="K50" s="13" t="s">
        <v>59</v>
      </c>
      <c r="L50" s="13" t="s">
        <v>60</v>
      </c>
      <c r="M50" s="13" t="s">
        <v>132</v>
      </c>
      <c r="N50" s="13" t="s">
        <v>576</v>
      </c>
      <c r="O50" s="13" t="s">
        <v>454</v>
      </c>
      <c r="P50" s="13" t="s">
        <v>577</v>
      </c>
      <c r="Q50" s="13" t="s">
        <v>244</v>
      </c>
      <c r="R50" s="13" t="s">
        <v>578</v>
      </c>
      <c r="S50" s="13" t="s">
        <v>579</v>
      </c>
      <c r="T50" s="13" t="s">
        <v>580</v>
      </c>
      <c r="U50" s="13" t="s">
        <v>581</v>
      </c>
      <c r="V50" s="13" t="s">
        <v>582</v>
      </c>
      <c r="W50" s="15" t="s">
        <v>583</v>
      </c>
    </row>
    <row r="51" customFormat="false" ht="43.25" hidden="false" customHeight="false" outlineLevel="0" collapsed="false">
      <c r="A51" s="13" t="s">
        <v>584</v>
      </c>
      <c r="B51" s="13" t="s">
        <v>585</v>
      </c>
      <c r="C51" s="13" t="s">
        <v>55</v>
      </c>
      <c r="D51" s="14"/>
      <c r="E51" s="14"/>
      <c r="F51" s="14"/>
      <c r="G51" s="13" t="s">
        <v>253</v>
      </c>
      <c r="H51" s="13" t="s">
        <v>451</v>
      </c>
      <c r="I51" s="13" t="s">
        <v>198</v>
      </c>
      <c r="J51" s="13" t="n">
        <v>5</v>
      </c>
      <c r="K51" s="13" t="s">
        <v>59</v>
      </c>
      <c r="L51" s="13" t="s">
        <v>60</v>
      </c>
      <c r="M51" s="13" t="s">
        <v>132</v>
      </c>
      <c r="N51" s="13" t="s">
        <v>586</v>
      </c>
      <c r="O51" s="13" t="s">
        <v>453</v>
      </c>
      <c r="P51" s="13" t="s">
        <v>524</v>
      </c>
      <c r="Q51" s="13" t="s">
        <v>587</v>
      </c>
      <c r="R51" s="13" t="s">
        <v>588</v>
      </c>
      <c r="S51" s="13" t="s">
        <v>589</v>
      </c>
      <c r="T51" s="13" t="s">
        <v>223</v>
      </c>
      <c r="U51" s="13" t="s">
        <v>590</v>
      </c>
      <c r="V51" s="13" t="s">
        <v>591</v>
      </c>
      <c r="W51" s="15" t="s">
        <v>592</v>
      </c>
    </row>
    <row r="52" customFormat="false" ht="32.8" hidden="false" customHeight="false" outlineLevel="0" collapsed="false">
      <c r="A52" s="13" t="s">
        <v>593</v>
      </c>
      <c r="B52" s="13" t="s">
        <v>594</v>
      </c>
      <c r="C52" s="13" t="s">
        <v>55</v>
      </c>
      <c r="D52" s="14"/>
      <c r="E52" s="14"/>
      <c r="F52" s="14"/>
      <c r="G52" s="13" t="s">
        <v>253</v>
      </c>
      <c r="H52" s="13" t="s">
        <v>595</v>
      </c>
      <c r="I52" s="13" t="s">
        <v>186</v>
      </c>
      <c r="J52" s="13" t="n">
        <v>3</v>
      </c>
      <c r="K52" s="13" t="s">
        <v>59</v>
      </c>
      <c r="L52" s="13" t="s">
        <v>60</v>
      </c>
      <c r="M52" s="13" t="s">
        <v>254</v>
      </c>
      <c r="N52" s="13" t="s">
        <v>596</v>
      </c>
      <c r="O52" s="13" t="s">
        <v>597</v>
      </c>
      <c r="P52" s="13" t="s">
        <v>267</v>
      </c>
      <c r="Q52" s="13" t="s">
        <v>101</v>
      </c>
      <c r="R52" s="13" t="s">
        <v>598</v>
      </c>
      <c r="S52" s="13" t="s">
        <v>599</v>
      </c>
      <c r="T52" s="13" t="s">
        <v>600</v>
      </c>
      <c r="U52" s="13" t="s">
        <v>601</v>
      </c>
      <c r="V52" s="13" t="s">
        <v>602</v>
      </c>
      <c r="W52" s="15" t="s">
        <v>603</v>
      </c>
    </row>
    <row r="53" customFormat="false" ht="32.8" hidden="false" customHeight="false" outlineLevel="0" collapsed="false">
      <c r="A53" s="13" t="s">
        <v>604</v>
      </c>
      <c r="B53" s="13" t="s">
        <v>605</v>
      </c>
      <c r="C53" s="13" t="s">
        <v>55</v>
      </c>
      <c r="D53" s="14"/>
      <c r="E53" s="14"/>
      <c r="F53" s="14"/>
      <c r="G53" s="13" t="s">
        <v>253</v>
      </c>
      <c r="H53" s="13" t="s">
        <v>595</v>
      </c>
      <c r="I53" s="13" t="s">
        <v>606</v>
      </c>
      <c r="J53" s="13" t="n">
        <v>3</v>
      </c>
      <c r="K53" s="13" t="s">
        <v>59</v>
      </c>
      <c r="L53" s="13" t="s">
        <v>60</v>
      </c>
      <c r="M53" s="13" t="s">
        <v>86</v>
      </c>
      <c r="N53" s="13" t="s">
        <v>607</v>
      </c>
      <c r="O53" s="13" t="s">
        <v>608</v>
      </c>
      <c r="P53" s="13" t="s">
        <v>609</v>
      </c>
      <c r="Q53" s="13" t="s">
        <v>587</v>
      </c>
      <c r="R53" s="13" t="s">
        <v>610</v>
      </c>
      <c r="S53" s="13" t="s">
        <v>611</v>
      </c>
      <c r="T53" s="13" t="s">
        <v>612</v>
      </c>
      <c r="U53" s="13" t="s">
        <v>613</v>
      </c>
      <c r="V53" s="13" t="s">
        <v>614</v>
      </c>
      <c r="W53" s="15" t="s">
        <v>615</v>
      </c>
    </row>
    <row r="54" customFormat="false" ht="53.7" hidden="false" customHeight="false" outlineLevel="0" collapsed="false">
      <c r="A54" s="13" t="s">
        <v>616</v>
      </c>
      <c r="B54" s="13" t="s">
        <v>617</v>
      </c>
      <c r="C54" s="13" t="s">
        <v>55</v>
      </c>
      <c r="D54" s="14"/>
      <c r="E54" s="14"/>
      <c r="F54" s="14"/>
      <c r="G54" s="13" t="s">
        <v>618</v>
      </c>
      <c r="H54" s="13" t="s">
        <v>619</v>
      </c>
      <c r="I54" s="13" t="s">
        <v>618</v>
      </c>
      <c r="J54" s="13" t="n">
        <v>2</v>
      </c>
      <c r="K54" s="13" t="s">
        <v>59</v>
      </c>
      <c r="L54" s="13" t="s">
        <v>60</v>
      </c>
      <c r="M54" s="13" t="s">
        <v>620</v>
      </c>
      <c r="N54" s="13" t="s">
        <v>621</v>
      </c>
      <c r="O54" s="13" t="s">
        <v>622</v>
      </c>
      <c r="P54" s="13" t="s">
        <v>623</v>
      </c>
      <c r="Q54" s="13" t="s">
        <v>420</v>
      </c>
      <c r="R54" s="13" t="s">
        <v>624</v>
      </c>
      <c r="S54" s="13" t="s">
        <v>625</v>
      </c>
      <c r="T54" s="13" t="s">
        <v>626</v>
      </c>
      <c r="U54" s="13" t="s">
        <v>627</v>
      </c>
      <c r="V54" s="13" t="s">
        <v>628</v>
      </c>
      <c r="W54" s="15" t="s">
        <v>629</v>
      </c>
    </row>
    <row r="55" customFormat="false" ht="32.8" hidden="false" customHeight="false" outlineLevel="0" collapsed="false">
      <c r="A55" s="13" t="s">
        <v>630</v>
      </c>
      <c r="B55" s="13" t="s">
        <v>631</v>
      </c>
      <c r="C55" s="13" t="s">
        <v>55</v>
      </c>
      <c r="D55" s="14"/>
      <c r="E55" s="14"/>
      <c r="F55" s="14"/>
      <c r="G55" s="13" t="s">
        <v>618</v>
      </c>
      <c r="H55" s="13" t="s">
        <v>595</v>
      </c>
      <c r="I55" s="13" t="s">
        <v>618</v>
      </c>
      <c r="J55" s="13" t="n">
        <v>2</v>
      </c>
      <c r="K55" s="13" t="s">
        <v>59</v>
      </c>
      <c r="L55" s="13" t="s">
        <v>60</v>
      </c>
      <c r="M55" s="13" t="s">
        <v>620</v>
      </c>
      <c r="N55" s="13" t="s">
        <v>632</v>
      </c>
      <c r="O55" s="13" t="s">
        <v>633</v>
      </c>
      <c r="P55" s="13" t="s">
        <v>634</v>
      </c>
      <c r="Q55" s="13" t="s">
        <v>420</v>
      </c>
      <c r="R55" s="13" t="s">
        <v>635</v>
      </c>
      <c r="S55" s="13" t="s">
        <v>636</v>
      </c>
      <c r="T55" s="13" t="s">
        <v>637</v>
      </c>
      <c r="U55" s="13" t="s">
        <v>638</v>
      </c>
      <c r="V55" s="13" t="s">
        <v>639</v>
      </c>
      <c r="W55" s="15" t="s">
        <v>640</v>
      </c>
    </row>
    <row r="56" customFormat="false" ht="32.8" hidden="false" customHeight="false" outlineLevel="0" collapsed="false">
      <c r="A56" s="13" t="s">
        <v>641</v>
      </c>
      <c r="B56" s="13" t="s">
        <v>642</v>
      </c>
      <c r="C56" s="13" t="s">
        <v>55</v>
      </c>
      <c r="D56" s="14"/>
      <c r="E56" s="14"/>
      <c r="F56" s="14"/>
      <c r="G56" s="13" t="s">
        <v>618</v>
      </c>
      <c r="H56" s="13" t="s">
        <v>643</v>
      </c>
      <c r="I56" s="13" t="s">
        <v>644</v>
      </c>
      <c r="J56" s="13" t="n">
        <v>2</v>
      </c>
      <c r="K56" s="13" t="s">
        <v>59</v>
      </c>
      <c r="L56" s="13" t="s">
        <v>60</v>
      </c>
      <c r="M56" s="13" t="s">
        <v>620</v>
      </c>
      <c r="N56" s="13" t="s">
        <v>645</v>
      </c>
      <c r="O56" s="13" t="s">
        <v>315</v>
      </c>
      <c r="P56" s="13" t="s">
        <v>646</v>
      </c>
      <c r="Q56" s="13" t="s">
        <v>647</v>
      </c>
      <c r="R56" s="13" t="s">
        <v>648</v>
      </c>
      <c r="S56" s="13" t="s">
        <v>649</v>
      </c>
      <c r="T56" s="13" t="s">
        <v>650</v>
      </c>
      <c r="U56" s="13" t="s">
        <v>651</v>
      </c>
      <c r="V56" s="13" t="s">
        <v>652</v>
      </c>
      <c r="W56" s="15" t="s">
        <v>653</v>
      </c>
    </row>
    <row r="57" customFormat="false" ht="32.8" hidden="false" customHeight="false" outlineLevel="0" collapsed="false">
      <c r="A57" s="13" t="s">
        <v>654</v>
      </c>
      <c r="B57" s="13" t="s">
        <v>655</v>
      </c>
      <c r="C57" s="13" t="s">
        <v>55</v>
      </c>
      <c r="D57" s="14"/>
      <c r="E57" s="14"/>
      <c r="F57" s="14"/>
      <c r="G57" s="13" t="s">
        <v>656</v>
      </c>
      <c r="H57" s="13" t="s">
        <v>595</v>
      </c>
      <c r="I57" s="13" t="s">
        <v>657</v>
      </c>
      <c r="J57" s="13" t="n">
        <v>3</v>
      </c>
      <c r="K57" s="13" t="s">
        <v>59</v>
      </c>
      <c r="L57" s="13" t="s">
        <v>60</v>
      </c>
      <c r="M57" s="13" t="s">
        <v>132</v>
      </c>
      <c r="N57" s="13" t="s">
        <v>658</v>
      </c>
      <c r="O57" s="13" t="s">
        <v>659</v>
      </c>
      <c r="P57" s="13" t="s">
        <v>660</v>
      </c>
      <c r="Q57" s="13" t="s">
        <v>647</v>
      </c>
      <c r="R57" s="13" t="s">
        <v>661</v>
      </c>
      <c r="S57" s="13" t="s">
        <v>662</v>
      </c>
      <c r="T57" s="13" t="s">
        <v>663</v>
      </c>
      <c r="U57" s="13" t="s">
        <v>664</v>
      </c>
      <c r="V57" s="13" t="s">
        <v>665</v>
      </c>
      <c r="W57" s="15" t="s">
        <v>666</v>
      </c>
    </row>
    <row r="58" customFormat="false" ht="32.8" hidden="false" customHeight="false" outlineLevel="0" collapsed="false">
      <c r="A58" s="13" t="s">
        <v>667</v>
      </c>
      <c r="B58" s="13" t="s">
        <v>668</v>
      </c>
      <c r="C58" s="13" t="s">
        <v>55</v>
      </c>
      <c r="D58" s="14"/>
      <c r="E58" s="14"/>
      <c r="F58" s="14"/>
      <c r="G58" s="13" t="s">
        <v>618</v>
      </c>
      <c r="H58" s="13" t="s">
        <v>669</v>
      </c>
      <c r="I58" s="13" t="s">
        <v>657</v>
      </c>
      <c r="J58" s="13" t="n">
        <v>2</v>
      </c>
      <c r="K58" s="13" t="s">
        <v>59</v>
      </c>
      <c r="L58" s="13" t="s">
        <v>60</v>
      </c>
      <c r="M58" s="13" t="s">
        <v>86</v>
      </c>
      <c r="N58" s="13" t="s">
        <v>670</v>
      </c>
      <c r="O58" s="13" t="s">
        <v>671</v>
      </c>
      <c r="P58" s="13" t="s">
        <v>568</v>
      </c>
      <c r="Q58" s="13" t="s">
        <v>647</v>
      </c>
      <c r="R58" s="13" t="s">
        <v>672</v>
      </c>
      <c r="S58" s="13" t="s">
        <v>673</v>
      </c>
      <c r="T58" s="13" t="s">
        <v>674</v>
      </c>
      <c r="U58" s="13" t="s">
        <v>675</v>
      </c>
      <c r="V58" s="13" t="s">
        <v>676</v>
      </c>
      <c r="W58" s="15" t="s">
        <v>677</v>
      </c>
    </row>
    <row r="59" customFormat="false" ht="32.8" hidden="false" customHeight="false" outlineLevel="0" collapsed="false">
      <c r="A59" s="13" t="s">
        <v>678</v>
      </c>
      <c r="B59" s="13" t="s">
        <v>679</v>
      </c>
      <c r="C59" s="13" t="s">
        <v>55</v>
      </c>
      <c r="D59" s="14"/>
      <c r="E59" s="14"/>
      <c r="F59" s="14"/>
      <c r="G59" s="13" t="s">
        <v>618</v>
      </c>
      <c r="H59" s="13" t="s">
        <v>57</v>
      </c>
      <c r="I59" s="13" t="s">
        <v>644</v>
      </c>
      <c r="J59" s="13" t="n">
        <v>2</v>
      </c>
      <c r="K59" s="13" t="s">
        <v>59</v>
      </c>
      <c r="L59" s="13" t="s">
        <v>60</v>
      </c>
      <c r="M59" s="13" t="s">
        <v>620</v>
      </c>
      <c r="N59" s="13" t="s">
        <v>680</v>
      </c>
      <c r="O59" s="13" t="s">
        <v>681</v>
      </c>
      <c r="P59" s="13" t="s">
        <v>89</v>
      </c>
      <c r="Q59" s="13" t="s">
        <v>647</v>
      </c>
      <c r="R59" s="13" t="s">
        <v>682</v>
      </c>
      <c r="S59" s="13" t="s">
        <v>683</v>
      </c>
      <c r="T59" s="13" t="s">
        <v>637</v>
      </c>
      <c r="U59" s="13" t="s">
        <v>684</v>
      </c>
      <c r="V59" s="13" t="s">
        <v>685</v>
      </c>
      <c r="W59" s="15" t="s">
        <v>686</v>
      </c>
    </row>
    <row r="60" customFormat="false" ht="32.8" hidden="false" customHeight="false" outlineLevel="0" collapsed="false">
      <c r="A60" s="13" t="s">
        <v>687</v>
      </c>
      <c r="B60" s="13" t="s">
        <v>688</v>
      </c>
      <c r="C60" s="13" t="s">
        <v>55</v>
      </c>
      <c r="D60" s="14"/>
      <c r="E60" s="14"/>
      <c r="F60" s="14"/>
      <c r="G60" s="13" t="s">
        <v>618</v>
      </c>
      <c r="H60" s="13" t="s">
        <v>689</v>
      </c>
      <c r="I60" s="13" t="s">
        <v>644</v>
      </c>
      <c r="J60" s="13" t="n">
        <v>2</v>
      </c>
      <c r="K60" s="13" t="s">
        <v>59</v>
      </c>
      <c r="L60" s="13" t="s">
        <v>60</v>
      </c>
      <c r="M60" s="13" t="s">
        <v>620</v>
      </c>
      <c r="N60" s="13" t="s">
        <v>690</v>
      </c>
      <c r="O60" s="13" t="s">
        <v>63</v>
      </c>
      <c r="P60" s="13" t="s">
        <v>691</v>
      </c>
      <c r="Q60" s="13" t="s">
        <v>647</v>
      </c>
      <c r="R60" s="13" t="s">
        <v>692</v>
      </c>
      <c r="S60" s="13" t="s">
        <v>693</v>
      </c>
      <c r="T60" s="13" t="s">
        <v>694</v>
      </c>
      <c r="U60" s="13" t="s">
        <v>695</v>
      </c>
      <c r="V60" s="13" t="s">
        <v>696</v>
      </c>
      <c r="W60" s="15" t="s">
        <v>697</v>
      </c>
    </row>
    <row r="61" customFormat="false" ht="32.8" hidden="false" customHeight="false" outlineLevel="0" collapsed="false">
      <c r="A61" s="13" t="s">
        <v>698</v>
      </c>
      <c r="B61" s="13" t="s">
        <v>699</v>
      </c>
      <c r="C61" s="13" t="s">
        <v>55</v>
      </c>
      <c r="D61" s="14"/>
      <c r="E61" s="14"/>
      <c r="F61" s="14"/>
      <c r="G61" s="13" t="s">
        <v>618</v>
      </c>
      <c r="H61" s="13" t="s">
        <v>57</v>
      </c>
      <c r="I61" s="13" t="s">
        <v>644</v>
      </c>
      <c r="J61" s="13" t="n">
        <v>3</v>
      </c>
      <c r="K61" s="13" t="s">
        <v>59</v>
      </c>
      <c r="L61" s="13" t="s">
        <v>60</v>
      </c>
      <c r="M61" s="13" t="s">
        <v>86</v>
      </c>
      <c r="N61" s="13" t="s">
        <v>700</v>
      </c>
      <c r="O61" s="13" t="s">
        <v>63</v>
      </c>
      <c r="P61" s="13" t="s">
        <v>701</v>
      </c>
      <c r="Q61" s="13" t="s">
        <v>647</v>
      </c>
      <c r="R61" s="13" t="s">
        <v>702</v>
      </c>
      <c r="S61" s="13" t="s">
        <v>703</v>
      </c>
      <c r="T61" s="13" t="s">
        <v>704</v>
      </c>
      <c r="U61" s="13" t="s">
        <v>705</v>
      </c>
      <c r="V61" s="13" t="s">
        <v>115</v>
      </c>
      <c r="W61" s="15" t="s">
        <v>706</v>
      </c>
    </row>
    <row r="62" customFormat="false" ht="32.8" hidden="false" customHeight="false" outlineLevel="0" collapsed="false">
      <c r="A62" s="13" t="s">
        <v>707</v>
      </c>
      <c r="B62" s="13" t="s">
        <v>708</v>
      </c>
      <c r="C62" s="13" t="s">
        <v>55</v>
      </c>
      <c r="D62" s="14"/>
      <c r="E62" s="14"/>
      <c r="F62" s="14"/>
      <c r="G62" s="13" t="s">
        <v>656</v>
      </c>
      <c r="H62" s="13" t="s">
        <v>595</v>
      </c>
      <c r="I62" s="13" t="s">
        <v>618</v>
      </c>
      <c r="J62" s="13" t="n">
        <v>3</v>
      </c>
      <c r="K62" s="13" t="s">
        <v>709</v>
      </c>
      <c r="L62" s="13" t="s">
        <v>60</v>
      </c>
      <c r="M62" s="13" t="s">
        <v>86</v>
      </c>
      <c r="N62" s="13" t="s">
        <v>710</v>
      </c>
      <c r="O62" s="13" t="s">
        <v>711</v>
      </c>
      <c r="P62" s="13" t="s">
        <v>712</v>
      </c>
      <c r="Q62" s="13" t="s">
        <v>587</v>
      </c>
      <c r="R62" s="13" t="s">
        <v>713</v>
      </c>
      <c r="S62" s="13" t="s">
        <v>714</v>
      </c>
      <c r="T62" s="13" t="s">
        <v>715</v>
      </c>
      <c r="U62" s="13" t="s">
        <v>716</v>
      </c>
      <c r="V62" s="13" t="s">
        <v>639</v>
      </c>
      <c r="W62" s="15" t="s">
        <v>717</v>
      </c>
    </row>
    <row r="63" customFormat="false" ht="32.8" hidden="false" customHeight="false" outlineLevel="0" collapsed="false">
      <c r="A63" s="13" t="s">
        <v>718</v>
      </c>
      <c r="B63" s="13" t="s">
        <v>719</v>
      </c>
      <c r="C63" s="13" t="s">
        <v>55</v>
      </c>
      <c r="D63" s="14"/>
      <c r="E63" s="14"/>
      <c r="F63" s="14"/>
      <c r="G63" s="13" t="s">
        <v>656</v>
      </c>
      <c r="H63" s="13" t="s">
        <v>619</v>
      </c>
      <c r="I63" s="13" t="s">
        <v>618</v>
      </c>
      <c r="J63" s="13" t="n">
        <v>4</v>
      </c>
      <c r="K63" s="13" t="s">
        <v>709</v>
      </c>
      <c r="L63" s="13" t="s">
        <v>60</v>
      </c>
      <c r="M63" s="13" t="s">
        <v>86</v>
      </c>
      <c r="N63" s="13" t="s">
        <v>720</v>
      </c>
      <c r="O63" s="13" t="s">
        <v>622</v>
      </c>
      <c r="P63" s="13" t="s">
        <v>623</v>
      </c>
      <c r="Q63" s="13" t="s">
        <v>587</v>
      </c>
      <c r="R63" s="13" t="s">
        <v>721</v>
      </c>
      <c r="S63" s="13" t="s">
        <v>722</v>
      </c>
      <c r="T63" s="13" t="s">
        <v>723</v>
      </c>
      <c r="U63" s="13" t="s">
        <v>724</v>
      </c>
      <c r="V63" s="13" t="s">
        <v>725</v>
      </c>
      <c r="W63" s="15" t="s">
        <v>726</v>
      </c>
    </row>
    <row r="64" customFormat="false" ht="32.8" hidden="false" customHeight="false" outlineLevel="0" collapsed="false">
      <c r="A64" s="13" t="s">
        <v>727</v>
      </c>
      <c r="B64" s="13" t="s">
        <v>728</v>
      </c>
      <c r="C64" s="13" t="s">
        <v>55</v>
      </c>
      <c r="D64" s="14"/>
      <c r="E64" s="14"/>
      <c r="F64" s="14"/>
      <c r="G64" s="13" t="s">
        <v>618</v>
      </c>
      <c r="H64" s="13" t="s">
        <v>729</v>
      </c>
      <c r="I64" s="13" t="s">
        <v>618</v>
      </c>
      <c r="J64" s="13" t="n">
        <v>3</v>
      </c>
      <c r="K64" s="13" t="s">
        <v>709</v>
      </c>
      <c r="L64" s="13" t="s">
        <v>60</v>
      </c>
      <c r="M64" s="13" t="s">
        <v>86</v>
      </c>
      <c r="N64" s="13" t="s">
        <v>730</v>
      </c>
      <c r="O64" s="13" t="s">
        <v>76</v>
      </c>
      <c r="P64" s="13" t="s">
        <v>731</v>
      </c>
      <c r="Q64" s="13" t="s">
        <v>587</v>
      </c>
      <c r="R64" s="13" t="s">
        <v>732</v>
      </c>
      <c r="S64" s="13" t="s">
        <v>733</v>
      </c>
      <c r="T64" s="13" t="s">
        <v>734</v>
      </c>
      <c r="U64" s="13" t="s">
        <v>735</v>
      </c>
      <c r="V64" s="13" t="s">
        <v>736</v>
      </c>
      <c r="W64" s="15" t="s">
        <v>737</v>
      </c>
    </row>
    <row r="65" customFormat="false" ht="43.25" hidden="false" customHeight="false" outlineLevel="0" collapsed="false">
      <c r="A65" s="13" t="s">
        <v>738</v>
      </c>
      <c r="B65" s="13" t="s">
        <v>739</v>
      </c>
      <c r="C65" s="13" t="s">
        <v>55</v>
      </c>
      <c r="D65" s="14"/>
      <c r="E65" s="14"/>
      <c r="F65" s="14"/>
      <c r="G65" s="13" t="s">
        <v>656</v>
      </c>
      <c r="H65" s="13" t="s">
        <v>57</v>
      </c>
      <c r="I65" s="13" t="s">
        <v>657</v>
      </c>
      <c r="J65" s="13" t="n">
        <v>4</v>
      </c>
      <c r="K65" s="13" t="s">
        <v>709</v>
      </c>
      <c r="L65" s="13" t="s">
        <v>60</v>
      </c>
      <c r="M65" s="13" t="s">
        <v>98</v>
      </c>
      <c r="N65" s="13" t="s">
        <v>740</v>
      </c>
      <c r="O65" s="13" t="s">
        <v>63</v>
      </c>
      <c r="P65" s="13" t="s">
        <v>741</v>
      </c>
      <c r="Q65" s="13" t="s">
        <v>742</v>
      </c>
      <c r="R65" s="13" t="s">
        <v>743</v>
      </c>
      <c r="S65" s="13" t="s">
        <v>744</v>
      </c>
      <c r="T65" s="13" t="s">
        <v>745</v>
      </c>
      <c r="U65" s="13" t="s">
        <v>746</v>
      </c>
      <c r="V65" s="13" t="s">
        <v>747</v>
      </c>
      <c r="W65" s="15" t="s">
        <v>748</v>
      </c>
    </row>
    <row r="66" customFormat="false" ht="32.8" hidden="false" customHeight="false" outlineLevel="0" collapsed="false">
      <c r="A66" s="13" t="s">
        <v>749</v>
      </c>
      <c r="B66" s="13" t="s">
        <v>750</v>
      </c>
      <c r="C66" s="13" t="s">
        <v>55</v>
      </c>
      <c r="D66" s="14"/>
      <c r="E66" s="14"/>
      <c r="F66" s="14"/>
      <c r="G66" s="13" t="s">
        <v>656</v>
      </c>
      <c r="H66" s="13" t="s">
        <v>57</v>
      </c>
      <c r="I66" s="13" t="s">
        <v>657</v>
      </c>
      <c r="J66" s="13" t="n">
        <v>5</v>
      </c>
      <c r="K66" s="13" t="s">
        <v>709</v>
      </c>
      <c r="L66" s="13" t="s">
        <v>60</v>
      </c>
      <c r="M66" s="13" t="s">
        <v>98</v>
      </c>
      <c r="N66" s="13" t="s">
        <v>751</v>
      </c>
      <c r="O66" s="13" t="s">
        <v>63</v>
      </c>
      <c r="P66" s="13" t="s">
        <v>701</v>
      </c>
      <c r="Q66" s="13" t="s">
        <v>742</v>
      </c>
      <c r="R66" s="13" t="s">
        <v>752</v>
      </c>
      <c r="S66" s="13" t="s">
        <v>753</v>
      </c>
      <c r="T66" s="13" t="s">
        <v>754</v>
      </c>
      <c r="U66" s="13" t="s">
        <v>755</v>
      </c>
      <c r="V66" s="13" t="s">
        <v>756</v>
      </c>
      <c r="W66" s="15" t="s">
        <v>757</v>
      </c>
    </row>
    <row r="67" customFormat="false" ht="32.8" hidden="false" customHeight="false" outlineLevel="0" collapsed="false">
      <c r="A67" s="13" t="s">
        <v>758</v>
      </c>
      <c r="B67" s="13" t="s">
        <v>759</v>
      </c>
      <c r="C67" s="13" t="s">
        <v>55</v>
      </c>
      <c r="D67" s="14"/>
      <c r="E67" s="14"/>
      <c r="F67" s="14"/>
      <c r="G67" s="13" t="s">
        <v>656</v>
      </c>
      <c r="H67" s="13" t="s">
        <v>57</v>
      </c>
      <c r="I67" s="13" t="s">
        <v>618</v>
      </c>
      <c r="J67" s="13" t="n">
        <v>4</v>
      </c>
      <c r="K67" s="13" t="s">
        <v>709</v>
      </c>
      <c r="L67" s="13" t="s">
        <v>60</v>
      </c>
      <c r="M67" s="13" t="s">
        <v>86</v>
      </c>
      <c r="N67" s="13" t="s">
        <v>760</v>
      </c>
      <c r="O67" s="13" t="s">
        <v>681</v>
      </c>
      <c r="P67" s="13" t="s">
        <v>761</v>
      </c>
      <c r="Q67" s="13" t="s">
        <v>742</v>
      </c>
      <c r="R67" s="13" t="s">
        <v>762</v>
      </c>
      <c r="S67" s="13" t="s">
        <v>763</v>
      </c>
      <c r="T67" s="13" t="s">
        <v>764</v>
      </c>
      <c r="U67" s="13" t="s">
        <v>765</v>
      </c>
      <c r="V67" s="13" t="s">
        <v>766</v>
      </c>
      <c r="W67" s="15" t="s">
        <v>767</v>
      </c>
    </row>
    <row r="68" customFormat="false" ht="64.15" hidden="false" customHeight="false" outlineLevel="0" collapsed="false">
      <c r="A68" s="13" t="s">
        <v>768</v>
      </c>
      <c r="B68" s="13" t="s">
        <v>769</v>
      </c>
      <c r="C68" s="13" t="s">
        <v>55</v>
      </c>
      <c r="D68" s="14"/>
      <c r="E68" s="14"/>
      <c r="F68" s="14"/>
      <c r="G68" s="13" t="s">
        <v>656</v>
      </c>
      <c r="H68" s="13" t="s">
        <v>595</v>
      </c>
      <c r="I68" s="13" t="s">
        <v>657</v>
      </c>
      <c r="J68" s="13" t="n">
        <v>5</v>
      </c>
      <c r="K68" s="13" t="s">
        <v>709</v>
      </c>
      <c r="L68" s="13" t="s">
        <v>60</v>
      </c>
      <c r="M68" s="13" t="s">
        <v>132</v>
      </c>
      <c r="N68" s="13" t="s">
        <v>770</v>
      </c>
      <c r="O68" s="13" t="s">
        <v>659</v>
      </c>
      <c r="P68" s="13" t="s">
        <v>771</v>
      </c>
      <c r="Q68" s="13" t="s">
        <v>742</v>
      </c>
      <c r="R68" s="13" t="s">
        <v>772</v>
      </c>
      <c r="S68" s="13" t="s">
        <v>773</v>
      </c>
      <c r="T68" s="13" t="s">
        <v>774</v>
      </c>
      <c r="U68" s="13" t="s">
        <v>775</v>
      </c>
      <c r="V68" s="13" t="s">
        <v>776</v>
      </c>
      <c r="W68" s="15" t="s">
        <v>777</v>
      </c>
    </row>
    <row r="69" customFormat="false" ht="43.25" hidden="false" customHeight="false" outlineLevel="0" collapsed="false">
      <c r="A69" s="13" t="s">
        <v>778</v>
      </c>
      <c r="B69" s="13" t="s">
        <v>779</v>
      </c>
      <c r="C69" s="13" t="s">
        <v>55</v>
      </c>
      <c r="D69" s="14"/>
      <c r="E69" s="14"/>
      <c r="F69" s="14"/>
      <c r="G69" s="13" t="s">
        <v>656</v>
      </c>
      <c r="H69" s="13" t="s">
        <v>669</v>
      </c>
      <c r="I69" s="13" t="s">
        <v>657</v>
      </c>
      <c r="J69" s="13" t="n">
        <v>4</v>
      </c>
      <c r="K69" s="13" t="s">
        <v>709</v>
      </c>
      <c r="L69" s="13" t="s">
        <v>60</v>
      </c>
      <c r="M69" s="13" t="s">
        <v>86</v>
      </c>
      <c r="N69" s="13" t="s">
        <v>720</v>
      </c>
      <c r="O69" s="13" t="s">
        <v>671</v>
      </c>
      <c r="P69" s="13" t="s">
        <v>780</v>
      </c>
      <c r="Q69" s="13" t="s">
        <v>742</v>
      </c>
      <c r="R69" s="13" t="s">
        <v>781</v>
      </c>
      <c r="S69" s="13" t="s">
        <v>782</v>
      </c>
      <c r="T69" s="13" t="s">
        <v>723</v>
      </c>
      <c r="U69" s="13" t="s">
        <v>783</v>
      </c>
      <c r="V69" s="13" t="s">
        <v>676</v>
      </c>
      <c r="W69" s="15" t="s">
        <v>784</v>
      </c>
    </row>
    <row r="70" customFormat="false" ht="32.8" hidden="false" customHeight="false" outlineLevel="0" collapsed="false">
      <c r="A70" s="13" t="s">
        <v>785</v>
      </c>
      <c r="B70" s="13" t="s">
        <v>786</v>
      </c>
      <c r="C70" s="13" t="s">
        <v>55</v>
      </c>
      <c r="D70" s="14"/>
      <c r="E70" s="14"/>
      <c r="F70" s="14"/>
      <c r="G70" s="13" t="s">
        <v>618</v>
      </c>
      <c r="H70" s="13" t="s">
        <v>729</v>
      </c>
      <c r="I70" s="13" t="s">
        <v>618</v>
      </c>
      <c r="J70" s="13" t="n">
        <v>3</v>
      </c>
      <c r="K70" s="13" t="s">
        <v>709</v>
      </c>
      <c r="L70" s="13" t="s">
        <v>60</v>
      </c>
      <c r="M70" s="13" t="s">
        <v>86</v>
      </c>
      <c r="N70" s="13" t="s">
        <v>787</v>
      </c>
      <c r="O70" s="13" t="s">
        <v>220</v>
      </c>
      <c r="P70" s="13" t="s">
        <v>788</v>
      </c>
      <c r="Q70" s="13" t="s">
        <v>587</v>
      </c>
      <c r="R70" s="13" t="s">
        <v>789</v>
      </c>
      <c r="S70" s="13" t="s">
        <v>790</v>
      </c>
      <c r="T70" s="13" t="s">
        <v>612</v>
      </c>
      <c r="U70" s="13" t="s">
        <v>791</v>
      </c>
      <c r="V70" s="13" t="s">
        <v>792</v>
      </c>
      <c r="W70" s="15" t="s">
        <v>793</v>
      </c>
    </row>
    <row r="71" customFormat="false" ht="32.8" hidden="false" customHeight="false" outlineLevel="0" collapsed="false">
      <c r="A71" s="13" t="s">
        <v>794</v>
      </c>
      <c r="B71" s="13" t="s">
        <v>795</v>
      </c>
      <c r="C71" s="13" t="s">
        <v>55</v>
      </c>
      <c r="D71" s="14"/>
      <c r="E71" s="14"/>
      <c r="F71" s="14"/>
      <c r="G71" s="13" t="s">
        <v>656</v>
      </c>
      <c r="H71" s="13" t="s">
        <v>595</v>
      </c>
      <c r="I71" s="13" t="s">
        <v>618</v>
      </c>
      <c r="J71" s="13" t="n">
        <v>5</v>
      </c>
      <c r="K71" s="13" t="s">
        <v>709</v>
      </c>
      <c r="L71" s="13" t="s">
        <v>60</v>
      </c>
      <c r="M71" s="13" t="s">
        <v>132</v>
      </c>
      <c r="N71" s="13" t="s">
        <v>796</v>
      </c>
      <c r="O71" s="13" t="s">
        <v>797</v>
      </c>
      <c r="P71" s="13" t="s">
        <v>798</v>
      </c>
      <c r="Q71" s="13" t="s">
        <v>742</v>
      </c>
      <c r="R71" s="13" t="s">
        <v>799</v>
      </c>
      <c r="S71" s="13" t="s">
        <v>800</v>
      </c>
      <c r="T71" s="13" t="s">
        <v>774</v>
      </c>
      <c r="U71" s="13" t="s">
        <v>801</v>
      </c>
      <c r="V71" s="13" t="s">
        <v>639</v>
      </c>
      <c r="W71" s="15" t="s">
        <v>802</v>
      </c>
    </row>
    <row r="72" customFormat="false" ht="32.8" hidden="false" customHeight="false" outlineLevel="0" collapsed="false">
      <c r="A72" s="13" t="s">
        <v>803</v>
      </c>
      <c r="B72" s="13" t="s">
        <v>804</v>
      </c>
      <c r="C72" s="13" t="s">
        <v>55</v>
      </c>
      <c r="D72" s="14"/>
      <c r="E72" s="14"/>
      <c r="F72" s="14"/>
      <c r="G72" s="13" t="s">
        <v>805</v>
      </c>
      <c r="H72" s="13" t="s">
        <v>407</v>
      </c>
      <c r="I72" s="13" t="s">
        <v>806</v>
      </c>
      <c r="J72" s="13" t="n">
        <v>1</v>
      </c>
      <c r="K72" s="13" t="s">
        <v>59</v>
      </c>
      <c r="L72" s="13" t="s">
        <v>60</v>
      </c>
      <c r="M72" s="13" t="s">
        <v>86</v>
      </c>
      <c r="N72" s="13" t="s">
        <v>807</v>
      </c>
      <c r="O72" s="13" t="s">
        <v>808</v>
      </c>
      <c r="P72" s="13" t="s">
        <v>809</v>
      </c>
      <c r="Q72" s="13" t="s">
        <v>810</v>
      </c>
      <c r="R72" s="13" t="s">
        <v>811</v>
      </c>
      <c r="S72" s="13" t="s">
        <v>812</v>
      </c>
      <c r="T72" s="13" t="s">
        <v>813</v>
      </c>
      <c r="U72" s="13" t="s">
        <v>814</v>
      </c>
      <c r="V72" s="13" t="s">
        <v>815</v>
      </c>
      <c r="W72" s="15" t="s">
        <v>816</v>
      </c>
    </row>
    <row r="73" customFormat="false" ht="32.8" hidden="false" customHeight="false" outlineLevel="0" collapsed="false">
      <c r="A73" s="13" t="s">
        <v>817</v>
      </c>
      <c r="B73" s="13" t="s">
        <v>818</v>
      </c>
      <c r="C73" s="13" t="s">
        <v>55</v>
      </c>
      <c r="D73" s="14"/>
      <c r="E73" s="14"/>
      <c r="F73" s="14"/>
      <c r="G73" s="13" t="s">
        <v>805</v>
      </c>
      <c r="H73" s="13" t="s">
        <v>819</v>
      </c>
      <c r="I73" s="13" t="s">
        <v>806</v>
      </c>
      <c r="J73" s="13" t="n">
        <v>1</v>
      </c>
      <c r="K73" s="13" t="s">
        <v>59</v>
      </c>
      <c r="L73" s="13" t="s">
        <v>60</v>
      </c>
      <c r="M73" s="13" t="s">
        <v>86</v>
      </c>
      <c r="N73" s="13" t="s">
        <v>820</v>
      </c>
      <c r="O73" s="13" t="s">
        <v>524</v>
      </c>
      <c r="P73" s="13" t="s">
        <v>821</v>
      </c>
      <c r="Q73" s="13" t="s">
        <v>810</v>
      </c>
      <c r="R73" s="13" t="s">
        <v>822</v>
      </c>
      <c r="S73" s="13" t="s">
        <v>823</v>
      </c>
      <c r="T73" s="13" t="s">
        <v>813</v>
      </c>
      <c r="U73" s="13" t="s">
        <v>824</v>
      </c>
      <c r="V73" s="13" t="s">
        <v>825</v>
      </c>
      <c r="W73" s="15" t="s">
        <v>826</v>
      </c>
    </row>
    <row r="74" customFormat="false" ht="43.25" hidden="false" customHeight="false" outlineLevel="0" collapsed="false">
      <c r="A74" s="13" t="s">
        <v>827</v>
      </c>
      <c r="B74" s="13" t="s">
        <v>828</v>
      </c>
      <c r="C74" s="13" t="s">
        <v>55</v>
      </c>
      <c r="D74" s="14"/>
      <c r="E74" s="14"/>
      <c r="F74" s="14"/>
      <c r="G74" s="13" t="s">
        <v>805</v>
      </c>
      <c r="H74" s="13" t="s">
        <v>57</v>
      </c>
      <c r="I74" s="13" t="s">
        <v>806</v>
      </c>
      <c r="J74" s="13" t="n">
        <v>1</v>
      </c>
      <c r="K74" s="13" t="s">
        <v>59</v>
      </c>
      <c r="L74" s="13" t="s">
        <v>60</v>
      </c>
      <c r="M74" s="13" t="s">
        <v>620</v>
      </c>
      <c r="N74" s="13" t="s">
        <v>829</v>
      </c>
      <c r="O74" s="13" t="s">
        <v>830</v>
      </c>
      <c r="P74" s="13" t="s">
        <v>89</v>
      </c>
      <c r="Q74" s="13" t="s">
        <v>810</v>
      </c>
      <c r="R74" s="13" t="s">
        <v>831</v>
      </c>
      <c r="S74" s="13" t="s">
        <v>832</v>
      </c>
      <c r="T74" s="13" t="s">
        <v>813</v>
      </c>
      <c r="U74" s="13" t="s">
        <v>833</v>
      </c>
      <c r="V74" s="13" t="s">
        <v>834</v>
      </c>
      <c r="W74" s="15" t="s">
        <v>835</v>
      </c>
    </row>
    <row r="75" customFormat="false" ht="32.8" hidden="false" customHeight="false" outlineLevel="0" collapsed="false">
      <c r="A75" s="13" t="s">
        <v>836</v>
      </c>
      <c r="B75" s="13" t="s">
        <v>837</v>
      </c>
      <c r="C75" s="13" t="s">
        <v>55</v>
      </c>
      <c r="D75" s="14"/>
      <c r="E75" s="14"/>
      <c r="F75" s="14"/>
      <c r="G75" s="13" t="s">
        <v>805</v>
      </c>
      <c r="H75" s="13" t="s">
        <v>838</v>
      </c>
      <c r="I75" s="13" t="s">
        <v>806</v>
      </c>
      <c r="J75" s="13" t="n">
        <v>1</v>
      </c>
      <c r="K75" s="13" t="s">
        <v>59</v>
      </c>
      <c r="L75" s="13" t="s">
        <v>60</v>
      </c>
      <c r="M75" s="13" t="s">
        <v>86</v>
      </c>
      <c r="N75" s="13" t="s">
        <v>839</v>
      </c>
      <c r="O75" s="13" t="s">
        <v>454</v>
      </c>
      <c r="P75" s="13" t="s">
        <v>840</v>
      </c>
      <c r="Q75" s="13" t="s">
        <v>810</v>
      </c>
      <c r="R75" s="13" t="s">
        <v>841</v>
      </c>
      <c r="S75" s="13" t="s">
        <v>842</v>
      </c>
      <c r="T75" s="13" t="s">
        <v>478</v>
      </c>
      <c r="U75" s="13" t="s">
        <v>843</v>
      </c>
      <c r="V75" s="13" t="s">
        <v>844</v>
      </c>
      <c r="W75" s="15" t="s">
        <v>845</v>
      </c>
    </row>
    <row r="76" customFormat="false" ht="32.8" hidden="false" customHeight="false" outlineLevel="0" collapsed="false">
      <c r="A76" s="13" t="s">
        <v>846</v>
      </c>
      <c r="B76" s="13" t="s">
        <v>847</v>
      </c>
      <c r="C76" s="13" t="s">
        <v>55</v>
      </c>
      <c r="D76" s="14"/>
      <c r="E76" s="14"/>
      <c r="F76" s="14"/>
      <c r="G76" s="13" t="s">
        <v>805</v>
      </c>
      <c r="H76" s="13" t="s">
        <v>848</v>
      </c>
      <c r="I76" s="13" t="s">
        <v>806</v>
      </c>
      <c r="J76" s="13" t="n">
        <v>2</v>
      </c>
      <c r="K76" s="13" t="s">
        <v>59</v>
      </c>
      <c r="L76" s="13" t="s">
        <v>60</v>
      </c>
      <c r="M76" s="13" t="s">
        <v>849</v>
      </c>
      <c r="N76" s="13" t="s">
        <v>850</v>
      </c>
      <c r="O76" s="13" t="s">
        <v>851</v>
      </c>
      <c r="P76" s="13" t="s">
        <v>852</v>
      </c>
      <c r="Q76" s="13" t="s">
        <v>810</v>
      </c>
      <c r="R76" s="13" t="s">
        <v>853</v>
      </c>
      <c r="S76" s="13" t="s">
        <v>854</v>
      </c>
      <c r="T76" s="13" t="s">
        <v>855</v>
      </c>
      <c r="U76" s="13" t="s">
        <v>856</v>
      </c>
      <c r="V76" s="13" t="s">
        <v>857</v>
      </c>
      <c r="W76" s="15" t="s">
        <v>858</v>
      </c>
    </row>
    <row r="77" customFormat="false" ht="43.25" hidden="false" customHeight="false" outlineLevel="0" collapsed="false">
      <c r="A77" s="13" t="s">
        <v>859</v>
      </c>
      <c r="B77" s="13" t="s">
        <v>860</v>
      </c>
      <c r="C77" s="13" t="s">
        <v>55</v>
      </c>
      <c r="D77" s="14"/>
      <c r="E77" s="14"/>
      <c r="F77" s="14"/>
      <c r="G77" s="13" t="s">
        <v>861</v>
      </c>
      <c r="H77" s="13" t="s">
        <v>595</v>
      </c>
      <c r="I77" s="13" t="s">
        <v>862</v>
      </c>
      <c r="J77" s="13" t="n">
        <v>1</v>
      </c>
      <c r="K77" s="13" t="s">
        <v>59</v>
      </c>
      <c r="L77" s="13" t="s">
        <v>60</v>
      </c>
      <c r="M77" s="13" t="s">
        <v>86</v>
      </c>
      <c r="N77" s="13" t="s">
        <v>863</v>
      </c>
      <c r="O77" s="13" t="s">
        <v>232</v>
      </c>
      <c r="P77" s="13" t="s">
        <v>864</v>
      </c>
      <c r="Q77" s="13" t="s">
        <v>865</v>
      </c>
      <c r="R77" s="13" t="s">
        <v>866</v>
      </c>
      <c r="S77" s="13"/>
      <c r="T77" s="13" t="s">
        <v>571</v>
      </c>
      <c r="U77" s="13" t="s">
        <v>867</v>
      </c>
      <c r="V77" s="13" t="s">
        <v>868</v>
      </c>
      <c r="W77" s="15" t="s">
        <v>869</v>
      </c>
    </row>
    <row r="78" customFormat="false" ht="53.7" hidden="false" customHeight="false" outlineLevel="0" collapsed="false">
      <c r="A78" s="13" t="s">
        <v>870</v>
      </c>
      <c r="B78" s="13" t="s">
        <v>871</v>
      </c>
      <c r="C78" s="13" t="s">
        <v>55</v>
      </c>
      <c r="D78" s="14"/>
      <c r="E78" s="14"/>
      <c r="F78" s="14"/>
      <c r="G78" s="13" t="s">
        <v>861</v>
      </c>
      <c r="H78" s="13" t="s">
        <v>595</v>
      </c>
      <c r="I78" s="13" t="s">
        <v>872</v>
      </c>
      <c r="J78" s="13" t="n">
        <v>2</v>
      </c>
      <c r="K78" s="13" t="s">
        <v>59</v>
      </c>
      <c r="L78" s="13" t="s">
        <v>60</v>
      </c>
      <c r="M78" s="13" t="s">
        <v>873</v>
      </c>
      <c r="N78" s="13" t="s">
        <v>874</v>
      </c>
      <c r="O78" s="13" t="s">
        <v>875</v>
      </c>
      <c r="P78" s="13" t="s">
        <v>876</v>
      </c>
      <c r="Q78" s="13" t="s">
        <v>877</v>
      </c>
      <c r="R78" s="13" t="s">
        <v>878</v>
      </c>
      <c r="S78" s="13" t="s">
        <v>879</v>
      </c>
      <c r="T78" s="13" t="s">
        <v>880</v>
      </c>
      <c r="U78" s="13" t="s">
        <v>881</v>
      </c>
      <c r="V78" s="13" t="s">
        <v>882</v>
      </c>
      <c r="W78" s="15" t="s">
        <v>883</v>
      </c>
    </row>
    <row r="79" customFormat="false" ht="43.25" hidden="false" customHeight="false" outlineLevel="0" collapsed="false">
      <c r="A79" s="13" t="s">
        <v>884</v>
      </c>
      <c r="B79" s="13" t="s">
        <v>885</v>
      </c>
      <c r="C79" s="13" t="s">
        <v>55</v>
      </c>
      <c r="D79" s="14"/>
      <c r="E79" s="14"/>
      <c r="F79" s="14"/>
      <c r="G79" s="13" t="s">
        <v>861</v>
      </c>
      <c r="H79" s="13" t="s">
        <v>886</v>
      </c>
      <c r="I79" s="13" t="s">
        <v>887</v>
      </c>
      <c r="J79" s="13" t="n">
        <v>2</v>
      </c>
      <c r="K79" s="13" t="s">
        <v>59</v>
      </c>
      <c r="L79" s="13" t="s">
        <v>60</v>
      </c>
      <c r="M79" s="13" t="s">
        <v>86</v>
      </c>
      <c r="N79" s="13" t="s">
        <v>888</v>
      </c>
      <c r="O79" s="13" t="s">
        <v>889</v>
      </c>
      <c r="P79" s="13" t="s">
        <v>890</v>
      </c>
      <c r="Q79" s="13" t="s">
        <v>865</v>
      </c>
      <c r="R79" s="13" t="s">
        <v>891</v>
      </c>
      <c r="S79" s="13" t="s">
        <v>892</v>
      </c>
      <c r="T79" s="13" t="s">
        <v>571</v>
      </c>
      <c r="U79" s="13" t="s">
        <v>893</v>
      </c>
      <c r="V79" s="13" t="s">
        <v>894</v>
      </c>
      <c r="W79" s="15" t="s">
        <v>895</v>
      </c>
    </row>
    <row r="80" customFormat="false" ht="32.8" hidden="false" customHeight="false" outlineLevel="0" collapsed="false">
      <c r="A80" s="13" t="s">
        <v>896</v>
      </c>
      <c r="B80" s="13" t="s">
        <v>897</v>
      </c>
      <c r="C80" s="13" t="s">
        <v>55</v>
      </c>
      <c r="D80" s="14"/>
      <c r="E80" s="14"/>
      <c r="F80" s="14"/>
      <c r="G80" s="13" t="s">
        <v>861</v>
      </c>
      <c r="H80" s="13" t="s">
        <v>838</v>
      </c>
      <c r="I80" s="13" t="s">
        <v>806</v>
      </c>
      <c r="J80" s="13" t="n">
        <v>1</v>
      </c>
      <c r="K80" s="13" t="s">
        <v>59</v>
      </c>
      <c r="L80" s="13" t="s">
        <v>60</v>
      </c>
      <c r="M80" s="13" t="s">
        <v>522</v>
      </c>
      <c r="N80" s="13" t="s">
        <v>898</v>
      </c>
      <c r="O80" s="13" t="s">
        <v>899</v>
      </c>
      <c r="P80" s="13" t="s">
        <v>900</v>
      </c>
      <c r="Q80" s="13" t="s">
        <v>865</v>
      </c>
      <c r="R80" s="13" t="s">
        <v>901</v>
      </c>
      <c r="S80" s="13" t="s">
        <v>902</v>
      </c>
      <c r="T80" s="13" t="s">
        <v>903</v>
      </c>
      <c r="U80" s="13" t="s">
        <v>904</v>
      </c>
      <c r="V80" s="13" t="s">
        <v>905</v>
      </c>
      <c r="W80" s="15" t="s">
        <v>906</v>
      </c>
    </row>
    <row r="81" customFormat="false" ht="32.8" hidden="false" customHeight="false" outlineLevel="0" collapsed="false">
      <c r="A81" s="13" t="s">
        <v>907</v>
      </c>
      <c r="B81" s="13" t="s">
        <v>908</v>
      </c>
      <c r="C81" s="13" t="s">
        <v>55</v>
      </c>
      <c r="D81" s="14"/>
      <c r="E81" s="14"/>
      <c r="F81" s="14"/>
      <c r="G81" s="13" t="s">
        <v>861</v>
      </c>
      <c r="H81" s="13" t="s">
        <v>909</v>
      </c>
      <c r="I81" s="13" t="s">
        <v>910</v>
      </c>
      <c r="J81" s="13" t="n">
        <v>1</v>
      </c>
      <c r="K81" s="13" t="s">
        <v>59</v>
      </c>
      <c r="L81" s="13" t="s">
        <v>60</v>
      </c>
      <c r="M81" s="13" t="s">
        <v>911</v>
      </c>
      <c r="N81" s="13" t="s">
        <v>912</v>
      </c>
      <c r="O81" s="13" t="s">
        <v>189</v>
      </c>
      <c r="P81" s="13" t="s">
        <v>913</v>
      </c>
      <c r="Q81" s="13" t="s">
        <v>865</v>
      </c>
      <c r="R81" s="13" t="s">
        <v>914</v>
      </c>
      <c r="S81" s="13" t="s">
        <v>915</v>
      </c>
      <c r="T81" s="13" t="s">
        <v>916</v>
      </c>
      <c r="U81" s="13" t="s">
        <v>917</v>
      </c>
      <c r="V81" s="13" t="s">
        <v>918</v>
      </c>
      <c r="W81" s="15" t="s">
        <v>919</v>
      </c>
    </row>
    <row r="82" customFormat="false" ht="32.8" hidden="false" customHeight="false" outlineLevel="0" collapsed="false">
      <c r="A82" s="13" t="s">
        <v>920</v>
      </c>
      <c r="B82" s="13" t="s">
        <v>921</v>
      </c>
      <c r="C82" s="13" t="s">
        <v>55</v>
      </c>
      <c r="D82" s="14"/>
      <c r="E82" s="14"/>
      <c r="F82" s="14"/>
      <c r="G82" s="13" t="s">
        <v>861</v>
      </c>
      <c r="H82" s="13" t="s">
        <v>57</v>
      </c>
      <c r="I82" s="13" t="s">
        <v>186</v>
      </c>
      <c r="J82" s="13" t="n">
        <v>2</v>
      </c>
      <c r="K82" s="13" t="s">
        <v>59</v>
      </c>
      <c r="L82" s="13" t="s">
        <v>60</v>
      </c>
      <c r="M82" s="13" t="s">
        <v>620</v>
      </c>
      <c r="N82" s="13" t="s">
        <v>922</v>
      </c>
      <c r="O82" s="13" t="s">
        <v>63</v>
      </c>
      <c r="P82" s="13" t="s">
        <v>923</v>
      </c>
      <c r="Q82" s="13" t="s">
        <v>865</v>
      </c>
      <c r="R82" s="13" t="s">
        <v>924</v>
      </c>
      <c r="S82" s="13" t="s">
        <v>925</v>
      </c>
      <c r="T82" s="13" t="s">
        <v>926</v>
      </c>
      <c r="U82" s="13" t="s">
        <v>927</v>
      </c>
      <c r="V82" s="13" t="s">
        <v>928</v>
      </c>
      <c r="W82" s="15" t="s">
        <v>929</v>
      </c>
    </row>
    <row r="83" customFormat="false" ht="53.7" hidden="false" customHeight="false" outlineLevel="0" collapsed="false">
      <c r="A83" s="13" t="s">
        <v>930</v>
      </c>
      <c r="B83" s="13" t="s">
        <v>931</v>
      </c>
      <c r="C83" s="13" t="s">
        <v>55</v>
      </c>
      <c r="D83" s="14"/>
      <c r="E83" s="14"/>
      <c r="F83" s="14"/>
      <c r="G83" s="13" t="s">
        <v>861</v>
      </c>
      <c r="H83" s="13" t="s">
        <v>57</v>
      </c>
      <c r="I83" s="13" t="s">
        <v>186</v>
      </c>
      <c r="J83" s="13" t="n">
        <v>2</v>
      </c>
      <c r="K83" s="13" t="s">
        <v>59</v>
      </c>
      <c r="L83" s="13" t="s">
        <v>60</v>
      </c>
      <c r="M83" s="13" t="s">
        <v>620</v>
      </c>
      <c r="N83" s="13" t="s">
        <v>922</v>
      </c>
      <c r="O83" s="13" t="s">
        <v>932</v>
      </c>
      <c r="P83" s="13" t="s">
        <v>798</v>
      </c>
      <c r="Q83" s="13" t="s">
        <v>865</v>
      </c>
      <c r="R83" s="13" t="s">
        <v>933</v>
      </c>
      <c r="S83" s="13" t="s">
        <v>934</v>
      </c>
      <c r="T83" s="13" t="s">
        <v>935</v>
      </c>
      <c r="U83" s="13" t="s">
        <v>936</v>
      </c>
      <c r="V83" s="13" t="s">
        <v>937</v>
      </c>
      <c r="W83" s="15" t="s">
        <v>938</v>
      </c>
    </row>
    <row r="84" customFormat="false" ht="43.25" hidden="false" customHeight="false" outlineLevel="0" collapsed="false">
      <c r="A84" s="13" t="s">
        <v>939</v>
      </c>
      <c r="B84" s="13" t="s">
        <v>940</v>
      </c>
      <c r="C84" s="13" t="s">
        <v>55</v>
      </c>
      <c r="D84" s="14"/>
      <c r="E84" s="14"/>
      <c r="F84" s="14"/>
      <c r="G84" s="13" t="s">
        <v>861</v>
      </c>
      <c r="H84" s="13" t="s">
        <v>689</v>
      </c>
      <c r="I84" s="13" t="s">
        <v>806</v>
      </c>
      <c r="J84" s="13" t="n">
        <v>2</v>
      </c>
      <c r="K84" s="13" t="s">
        <v>59</v>
      </c>
      <c r="L84" s="13" t="s">
        <v>60</v>
      </c>
      <c r="M84" s="13" t="s">
        <v>620</v>
      </c>
      <c r="N84" s="13" t="s">
        <v>941</v>
      </c>
      <c r="O84" s="13" t="s">
        <v>942</v>
      </c>
      <c r="P84" s="13" t="s">
        <v>88</v>
      </c>
      <c r="Q84" s="13" t="s">
        <v>865</v>
      </c>
      <c r="R84" s="13" t="s">
        <v>943</v>
      </c>
      <c r="S84" s="13" t="s">
        <v>944</v>
      </c>
      <c r="T84" s="13" t="s">
        <v>945</v>
      </c>
      <c r="U84" s="13" t="s">
        <v>946</v>
      </c>
      <c r="V84" s="13" t="s">
        <v>947</v>
      </c>
      <c r="W84" s="15" t="s">
        <v>948</v>
      </c>
    </row>
    <row r="85" customFormat="false" ht="43.25" hidden="false" customHeight="false" outlineLevel="0" collapsed="false">
      <c r="A85" s="13" t="s">
        <v>949</v>
      </c>
      <c r="B85" s="13" t="s">
        <v>950</v>
      </c>
      <c r="C85" s="13" t="s">
        <v>55</v>
      </c>
      <c r="D85" s="14"/>
      <c r="E85" s="14"/>
      <c r="F85" s="14"/>
      <c r="G85" s="13" t="s">
        <v>861</v>
      </c>
      <c r="H85" s="13" t="s">
        <v>57</v>
      </c>
      <c r="I85" s="13" t="s">
        <v>951</v>
      </c>
      <c r="J85" s="13" t="n">
        <v>1</v>
      </c>
      <c r="K85" s="13" t="s">
        <v>59</v>
      </c>
      <c r="L85" s="13" t="s">
        <v>60</v>
      </c>
      <c r="M85" s="13" t="s">
        <v>620</v>
      </c>
      <c r="N85" s="13" t="s">
        <v>952</v>
      </c>
      <c r="O85" s="13" t="s">
        <v>953</v>
      </c>
      <c r="P85" s="13" t="s">
        <v>954</v>
      </c>
      <c r="Q85" s="13" t="s">
        <v>865</v>
      </c>
      <c r="R85" s="13" t="s">
        <v>955</v>
      </c>
      <c r="S85" s="13" t="s">
        <v>956</v>
      </c>
      <c r="T85" s="13" t="s">
        <v>957</v>
      </c>
      <c r="U85" s="13" t="s">
        <v>958</v>
      </c>
      <c r="V85" s="13" t="s">
        <v>959</v>
      </c>
      <c r="W85" s="15" t="s">
        <v>960</v>
      </c>
    </row>
    <row r="86" customFormat="false" ht="32.8" hidden="false" customHeight="false" outlineLevel="0" collapsed="false">
      <c r="A86" s="13" t="s">
        <v>961</v>
      </c>
      <c r="B86" s="13" t="s">
        <v>962</v>
      </c>
      <c r="C86" s="13" t="s">
        <v>55</v>
      </c>
      <c r="D86" s="14"/>
      <c r="E86" s="14"/>
      <c r="F86" s="14"/>
      <c r="G86" s="13" t="s">
        <v>861</v>
      </c>
      <c r="H86" s="13" t="s">
        <v>57</v>
      </c>
      <c r="I86" s="13" t="s">
        <v>198</v>
      </c>
      <c r="J86" s="13" t="n">
        <v>2</v>
      </c>
      <c r="K86" s="13" t="s">
        <v>59</v>
      </c>
      <c r="L86" s="13" t="s">
        <v>60</v>
      </c>
      <c r="M86" s="13" t="s">
        <v>86</v>
      </c>
      <c r="N86" s="13" t="s">
        <v>963</v>
      </c>
      <c r="O86" s="13" t="s">
        <v>63</v>
      </c>
      <c r="P86" s="13" t="s">
        <v>964</v>
      </c>
      <c r="Q86" s="13" t="s">
        <v>865</v>
      </c>
      <c r="R86" s="13" t="s">
        <v>965</v>
      </c>
      <c r="S86" s="13" t="s">
        <v>966</v>
      </c>
      <c r="T86" s="13" t="s">
        <v>967</v>
      </c>
      <c r="U86" s="13" t="s">
        <v>968</v>
      </c>
      <c r="V86" s="13" t="s">
        <v>969</v>
      </c>
      <c r="W86" s="15" t="s">
        <v>970</v>
      </c>
    </row>
    <row r="87" customFormat="false" ht="32.8" hidden="false" customHeight="false" outlineLevel="0" collapsed="false">
      <c r="A87" s="13" t="s">
        <v>971</v>
      </c>
      <c r="B87" s="13" t="s">
        <v>972</v>
      </c>
      <c r="C87" s="13" t="s">
        <v>55</v>
      </c>
      <c r="D87" s="14"/>
      <c r="E87" s="14"/>
      <c r="F87" s="14"/>
      <c r="G87" s="13" t="s">
        <v>861</v>
      </c>
      <c r="H87" s="13" t="s">
        <v>57</v>
      </c>
      <c r="I87" s="13" t="s">
        <v>806</v>
      </c>
      <c r="J87" s="13" t="n">
        <v>1</v>
      </c>
      <c r="K87" s="13" t="s">
        <v>59</v>
      </c>
      <c r="L87" s="13" t="s">
        <v>60</v>
      </c>
      <c r="M87" s="13" t="s">
        <v>849</v>
      </c>
      <c r="N87" s="13" t="s">
        <v>973</v>
      </c>
      <c r="O87" s="13" t="s">
        <v>622</v>
      </c>
      <c r="P87" s="13" t="s">
        <v>974</v>
      </c>
      <c r="Q87" s="13" t="s">
        <v>865</v>
      </c>
      <c r="R87" s="13" t="s">
        <v>975</v>
      </c>
      <c r="S87" s="13" t="s">
        <v>976</v>
      </c>
      <c r="T87" s="13" t="s">
        <v>977</v>
      </c>
      <c r="U87" s="13" t="s">
        <v>978</v>
      </c>
      <c r="V87" s="13" t="s">
        <v>979</v>
      </c>
      <c r="W87" s="15" t="s">
        <v>980</v>
      </c>
    </row>
    <row r="88" customFormat="false" ht="32.8" hidden="false" customHeight="false" outlineLevel="0" collapsed="false">
      <c r="A88" s="13" t="s">
        <v>981</v>
      </c>
      <c r="B88" s="13" t="s">
        <v>982</v>
      </c>
      <c r="C88" s="13" t="s">
        <v>55</v>
      </c>
      <c r="D88" s="14"/>
      <c r="E88" s="14"/>
      <c r="F88" s="14"/>
      <c r="G88" s="13" t="s">
        <v>861</v>
      </c>
      <c r="H88" s="13" t="s">
        <v>154</v>
      </c>
      <c r="I88" s="13" t="s">
        <v>910</v>
      </c>
      <c r="J88" s="13" t="n">
        <v>2</v>
      </c>
      <c r="K88" s="13" t="s">
        <v>59</v>
      </c>
      <c r="L88" s="13" t="s">
        <v>60</v>
      </c>
      <c r="M88" s="13" t="s">
        <v>849</v>
      </c>
      <c r="N88" s="13" t="s">
        <v>983</v>
      </c>
      <c r="O88" s="13" t="s">
        <v>984</v>
      </c>
      <c r="P88" s="13" t="s">
        <v>475</v>
      </c>
      <c r="Q88" s="13" t="s">
        <v>865</v>
      </c>
      <c r="R88" s="13" t="s">
        <v>985</v>
      </c>
      <c r="S88" s="13" t="s">
        <v>986</v>
      </c>
      <c r="T88" s="13" t="s">
        <v>987</v>
      </c>
      <c r="U88" s="13" t="s">
        <v>988</v>
      </c>
      <c r="V88" s="13" t="s">
        <v>989</v>
      </c>
      <c r="W88" s="15" t="s">
        <v>990</v>
      </c>
    </row>
    <row r="89" customFormat="false" ht="32.8" hidden="false" customHeight="false" outlineLevel="0" collapsed="false">
      <c r="A89" s="13" t="s">
        <v>991</v>
      </c>
      <c r="B89" s="13" t="s">
        <v>992</v>
      </c>
      <c r="C89" s="13" t="s">
        <v>55</v>
      </c>
      <c r="D89" s="14"/>
      <c r="E89" s="14"/>
      <c r="F89" s="14"/>
      <c r="G89" s="13" t="s">
        <v>861</v>
      </c>
      <c r="H89" s="13" t="s">
        <v>57</v>
      </c>
      <c r="I89" s="13" t="s">
        <v>910</v>
      </c>
      <c r="J89" s="13" t="n">
        <v>1</v>
      </c>
      <c r="K89" s="13" t="s">
        <v>59</v>
      </c>
      <c r="L89" s="13" t="s">
        <v>60</v>
      </c>
      <c r="M89" s="13" t="s">
        <v>911</v>
      </c>
      <c r="N89" s="13" t="s">
        <v>993</v>
      </c>
      <c r="O89" s="13" t="s">
        <v>231</v>
      </c>
      <c r="P89" s="13" t="s">
        <v>189</v>
      </c>
      <c r="Q89" s="13" t="s">
        <v>865</v>
      </c>
      <c r="R89" s="13" t="s">
        <v>994</v>
      </c>
      <c r="S89" s="13" t="s">
        <v>995</v>
      </c>
      <c r="T89" s="13" t="s">
        <v>977</v>
      </c>
      <c r="U89" s="13" t="s">
        <v>996</v>
      </c>
      <c r="V89" s="13" t="s">
        <v>997</v>
      </c>
      <c r="W89" s="15" t="s">
        <v>998</v>
      </c>
    </row>
    <row r="90" customFormat="false" ht="32.8" hidden="false" customHeight="false" outlineLevel="0" collapsed="false">
      <c r="A90" s="13" t="s">
        <v>999</v>
      </c>
      <c r="B90" s="13" t="s">
        <v>1000</v>
      </c>
      <c r="C90" s="13" t="s">
        <v>55</v>
      </c>
      <c r="D90" s="14"/>
      <c r="E90" s="14"/>
      <c r="F90" s="14"/>
      <c r="G90" s="13" t="s">
        <v>861</v>
      </c>
      <c r="H90" s="13" t="s">
        <v>1001</v>
      </c>
      <c r="I90" s="13" t="s">
        <v>910</v>
      </c>
      <c r="J90" s="13" t="n">
        <v>1</v>
      </c>
      <c r="K90" s="13" t="s">
        <v>59</v>
      </c>
      <c r="L90" s="13" t="s">
        <v>60</v>
      </c>
      <c r="M90" s="13" t="s">
        <v>911</v>
      </c>
      <c r="N90" s="13" t="s">
        <v>1002</v>
      </c>
      <c r="O90" s="13" t="s">
        <v>76</v>
      </c>
      <c r="P90" s="13" t="s">
        <v>1003</v>
      </c>
      <c r="Q90" s="13" t="s">
        <v>865</v>
      </c>
      <c r="R90" s="13" t="s">
        <v>1004</v>
      </c>
      <c r="S90" s="13" t="s">
        <v>1005</v>
      </c>
      <c r="T90" s="13" t="s">
        <v>1006</v>
      </c>
      <c r="U90" s="13" t="s">
        <v>1007</v>
      </c>
      <c r="V90" s="13" t="s">
        <v>1008</v>
      </c>
      <c r="W90" s="15" t="s">
        <v>1009</v>
      </c>
    </row>
    <row r="91" customFormat="false" ht="43.25" hidden="false" customHeight="false" outlineLevel="0" collapsed="false">
      <c r="A91" s="13" t="s">
        <v>1010</v>
      </c>
      <c r="B91" s="13" t="s">
        <v>1011</v>
      </c>
      <c r="C91" s="13" t="s">
        <v>55</v>
      </c>
      <c r="D91" s="14"/>
      <c r="E91" s="14"/>
      <c r="F91" s="14"/>
      <c r="G91" s="13" t="s">
        <v>861</v>
      </c>
      <c r="H91" s="13" t="s">
        <v>416</v>
      </c>
      <c r="I91" s="13" t="s">
        <v>910</v>
      </c>
      <c r="J91" s="13" t="n">
        <v>1</v>
      </c>
      <c r="K91" s="13" t="s">
        <v>59</v>
      </c>
      <c r="L91" s="13" t="s">
        <v>60</v>
      </c>
      <c r="M91" s="13" t="s">
        <v>849</v>
      </c>
      <c r="N91" s="13" t="s">
        <v>1012</v>
      </c>
      <c r="O91" s="13" t="s">
        <v>1013</v>
      </c>
      <c r="P91" s="13" t="s">
        <v>1014</v>
      </c>
      <c r="Q91" s="13" t="s">
        <v>865</v>
      </c>
      <c r="R91" s="13" t="s">
        <v>1015</v>
      </c>
      <c r="S91" s="13" t="s">
        <v>1016</v>
      </c>
      <c r="T91" s="13" t="s">
        <v>916</v>
      </c>
      <c r="U91" s="13" t="s">
        <v>1017</v>
      </c>
      <c r="V91" s="13" t="s">
        <v>1018</v>
      </c>
      <c r="W91" s="15" t="s">
        <v>1019</v>
      </c>
    </row>
    <row r="92" customFormat="false" ht="32.8" hidden="false" customHeight="false" outlineLevel="0" collapsed="false">
      <c r="A92" s="13" t="s">
        <v>1020</v>
      </c>
      <c r="B92" s="13" t="s">
        <v>1021</v>
      </c>
      <c r="C92" s="13" t="s">
        <v>55</v>
      </c>
      <c r="D92" s="14"/>
      <c r="E92" s="14"/>
      <c r="F92" s="14"/>
      <c r="G92" s="13" t="s">
        <v>861</v>
      </c>
      <c r="H92" s="13" t="s">
        <v>819</v>
      </c>
      <c r="I92" s="13" t="s">
        <v>910</v>
      </c>
      <c r="J92" s="13" t="n">
        <v>1</v>
      </c>
      <c r="K92" s="13" t="s">
        <v>59</v>
      </c>
      <c r="L92" s="13" t="s">
        <v>60</v>
      </c>
      <c r="M92" s="13" t="s">
        <v>911</v>
      </c>
      <c r="N92" s="13" t="s">
        <v>1022</v>
      </c>
      <c r="O92" s="13" t="s">
        <v>1023</v>
      </c>
      <c r="P92" s="13" t="s">
        <v>1024</v>
      </c>
      <c r="Q92" s="13" t="s">
        <v>865</v>
      </c>
      <c r="R92" s="13" t="s">
        <v>1025</v>
      </c>
      <c r="S92" s="13" t="s">
        <v>1026</v>
      </c>
      <c r="T92" s="13" t="s">
        <v>1027</v>
      </c>
      <c r="U92" s="13" t="s">
        <v>1028</v>
      </c>
      <c r="V92" s="13" t="s">
        <v>1029</v>
      </c>
      <c r="W92" s="15" t="s">
        <v>1030</v>
      </c>
    </row>
    <row r="93" customFormat="false" ht="43.25" hidden="false" customHeight="false" outlineLevel="0" collapsed="false">
      <c r="A93" s="13" t="s">
        <v>1031</v>
      </c>
      <c r="B93" s="13" t="s">
        <v>1032</v>
      </c>
      <c r="C93" s="13" t="s">
        <v>55</v>
      </c>
      <c r="D93" s="14"/>
      <c r="E93" s="14"/>
      <c r="F93" s="14"/>
      <c r="G93" s="13" t="s">
        <v>861</v>
      </c>
      <c r="H93" s="13" t="s">
        <v>84</v>
      </c>
      <c r="I93" s="13" t="s">
        <v>1033</v>
      </c>
      <c r="J93" s="13" t="n">
        <v>1</v>
      </c>
      <c r="K93" s="13" t="s">
        <v>59</v>
      </c>
      <c r="L93" s="13" t="s">
        <v>85</v>
      </c>
      <c r="M93" s="13" t="s">
        <v>1034</v>
      </c>
      <c r="N93" s="13" t="s">
        <v>1035</v>
      </c>
      <c r="O93" s="13" t="s">
        <v>76</v>
      </c>
      <c r="P93" s="13" t="s">
        <v>1036</v>
      </c>
      <c r="Q93" s="13" t="s">
        <v>865</v>
      </c>
      <c r="R93" s="13" t="s">
        <v>1037</v>
      </c>
      <c r="S93" s="13" t="s">
        <v>1038</v>
      </c>
      <c r="T93" s="13" t="s">
        <v>1039</v>
      </c>
      <c r="U93" s="13" t="s">
        <v>1040</v>
      </c>
      <c r="V93" s="13" t="s">
        <v>1041</v>
      </c>
      <c r="W93" s="15" t="s">
        <v>1042</v>
      </c>
    </row>
    <row r="94" customFormat="false" ht="53.7" hidden="false" customHeight="false" outlineLevel="0" collapsed="false">
      <c r="A94" s="13" t="s">
        <v>1043</v>
      </c>
      <c r="B94" s="13" t="s">
        <v>1044</v>
      </c>
      <c r="C94" s="13" t="s">
        <v>55</v>
      </c>
      <c r="D94" s="14"/>
      <c r="E94" s="14"/>
      <c r="F94" s="14"/>
      <c r="G94" s="13" t="s">
        <v>805</v>
      </c>
      <c r="H94" s="13" t="s">
        <v>84</v>
      </c>
      <c r="I94" s="13" t="s">
        <v>806</v>
      </c>
      <c r="J94" s="13" t="n">
        <v>1</v>
      </c>
      <c r="K94" s="13" t="s">
        <v>59</v>
      </c>
      <c r="L94" s="13" t="s">
        <v>60</v>
      </c>
      <c r="M94" s="13" t="s">
        <v>849</v>
      </c>
      <c r="N94" s="13" t="s">
        <v>922</v>
      </c>
      <c r="O94" s="13" t="s">
        <v>88</v>
      </c>
      <c r="P94" s="13" t="s">
        <v>475</v>
      </c>
      <c r="Q94" s="13" t="s">
        <v>810</v>
      </c>
      <c r="R94" s="13" t="s">
        <v>1045</v>
      </c>
      <c r="S94" s="13" t="s">
        <v>1046</v>
      </c>
      <c r="T94" s="13" t="s">
        <v>1047</v>
      </c>
      <c r="U94" s="13" t="s">
        <v>1048</v>
      </c>
      <c r="V94" s="13" t="s">
        <v>1049</v>
      </c>
      <c r="W94" s="15" t="s">
        <v>1050</v>
      </c>
    </row>
    <row r="95" customFormat="false" ht="43.25" hidden="false" customHeight="false" outlineLevel="0" collapsed="false">
      <c r="A95" s="13" t="s">
        <v>1051</v>
      </c>
      <c r="B95" s="13" t="s">
        <v>1052</v>
      </c>
      <c r="C95" s="13" t="s">
        <v>55</v>
      </c>
      <c r="D95" s="14"/>
      <c r="E95" s="14"/>
      <c r="F95" s="14"/>
      <c r="G95" s="13" t="s">
        <v>805</v>
      </c>
      <c r="H95" s="13" t="s">
        <v>838</v>
      </c>
      <c r="I95" s="13" t="s">
        <v>806</v>
      </c>
      <c r="J95" s="13" t="n">
        <v>1</v>
      </c>
      <c r="K95" s="13" t="s">
        <v>59</v>
      </c>
      <c r="L95" s="13" t="s">
        <v>60</v>
      </c>
      <c r="M95" s="13" t="s">
        <v>620</v>
      </c>
      <c r="N95" s="13" t="s">
        <v>1053</v>
      </c>
      <c r="O95" s="13" t="s">
        <v>1054</v>
      </c>
      <c r="P95" s="13"/>
      <c r="Q95" s="13" t="s">
        <v>810</v>
      </c>
      <c r="R95" s="13" t="s">
        <v>1055</v>
      </c>
      <c r="S95" s="13" t="s">
        <v>1056</v>
      </c>
      <c r="T95" s="13" t="s">
        <v>1057</v>
      </c>
      <c r="U95" s="13" t="s">
        <v>1058</v>
      </c>
      <c r="V95" s="13" t="s">
        <v>1059</v>
      </c>
      <c r="W95" s="15" t="s">
        <v>1060</v>
      </c>
    </row>
    <row r="96" customFormat="false" ht="43.25" hidden="false" customHeight="false" outlineLevel="0" collapsed="false">
      <c r="A96" s="13" t="s">
        <v>1061</v>
      </c>
      <c r="B96" s="13" t="s">
        <v>1062</v>
      </c>
      <c r="C96" s="13" t="s">
        <v>55</v>
      </c>
      <c r="D96" s="14"/>
      <c r="E96" s="14"/>
      <c r="F96" s="14"/>
      <c r="G96" s="13" t="s">
        <v>805</v>
      </c>
      <c r="H96" s="13" t="s">
        <v>407</v>
      </c>
      <c r="I96" s="13" t="s">
        <v>806</v>
      </c>
      <c r="J96" s="13" t="n">
        <v>1</v>
      </c>
      <c r="K96" s="13" t="s">
        <v>59</v>
      </c>
      <c r="L96" s="13" t="s">
        <v>60</v>
      </c>
      <c r="M96" s="13" t="s">
        <v>620</v>
      </c>
      <c r="N96" s="13" t="s">
        <v>922</v>
      </c>
      <c r="O96" s="13" t="s">
        <v>1063</v>
      </c>
      <c r="P96" s="13" t="s">
        <v>1064</v>
      </c>
      <c r="Q96" s="13" t="s">
        <v>810</v>
      </c>
      <c r="R96" s="13" t="s">
        <v>1065</v>
      </c>
      <c r="S96" s="13" t="s">
        <v>1066</v>
      </c>
      <c r="T96" s="13" t="s">
        <v>560</v>
      </c>
      <c r="U96" s="13" t="s">
        <v>1067</v>
      </c>
      <c r="V96" s="13" t="s">
        <v>1068</v>
      </c>
      <c r="W96" s="15" t="s">
        <v>1069</v>
      </c>
    </row>
    <row r="97" customFormat="false" ht="32.8" hidden="false" customHeight="false" outlineLevel="0" collapsed="false">
      <c r="A97" s="13" t="s">
        <v>1070</v>
      </c>
      <c r="B97" s="13" t="s">
        <v>1071</v>
      </c>
      <c r="C97" s="13" t="s">
        <v>55</v>
      </c>
      <c r="D97" s="14"/>
      <c r="E97" s="14"/>
      <c r="F97" s="14"/>
      <c r="G97" s="13" t="s">
        <v>805</v>
      </c>
      <c r="H97" s="13" t="s">
        <v>302</v>
      </c>
      <c r="I97" s="13" t="s">
        <v>806</v>
      </c>
      <c r="J97" s="13" t="n">
        <v>1</v>
      </c>
      <c r="K97" s="13" t="s">
        <v>59</v>
      </c>
      <c r="L97" s="13" t="s">
        <v>60</v>
      </c>
      <c r="M97" s="13" t="s">
        <v>620</v>
      </c>
      <c r="N97" s="13" t="s">
        <v>922</v>
      </c>
      <c r="O97" s="13" t="s">
        <v>304</v>
      </c>
      <c r="P97" s="13" t="s">
        <v>397</v>
      </c>
      <c r="Q97" s="13" t="s">
        <v>810</v>
      </c>
      <c r="R97" s="13" t="s">
        <v>1072</v>
      </c>
      <c r="S97" s="13" t="s">
        <v>1073</v>
      </c>
      <c r="T97" s="13" t="s">
        <v>560</v>
      </c>
      <c r="U97" s="13" t="s">
        <v>1074</v>
      </c>
      <c r="V97" s="13" t="s">
        <v>1075</v>
      </c>
      <c r="W97" s="15" t="s">
        <v>1076</v>
      </c>
    </row>
    <row r="98" customFormat="false" ht="32.8" hidden="false" customHeight="false" outlineLevel="0" collapsed="false">
      <c r="A98" s="13" t="s">
        <v>1077</v>
      </c>
      <c r="B98" s="13" t="s">
        <v>1078</v>
      </c>
      <c r="C98" s="13" t="s">
        <v>55</v>
      </c>
      <c r="D98" s="14"/>
      <c r="E98" s="14"/>
      <c r="F98" s="14"/>
      <c r="G98" s="13" t="s">
        <v>805</v>
      </c>
      <c r="H98" s="13" t="s">
        <v>909</v>
      </c>
      <c r="I98" s="13" t="s">
        <v>806</v>
      </c>
      <c r="J98" s="13" t="n">
        <v>1</v>
      </c>
      <c r="K98" s="13" t="s">
        <v>59</v>
      </c>
      <c r="L98" s="13" t="s">
        <v>60</v>
      </c>
      <c r="M98" s="13" t="s">
        <v>620</v>
      </c>
      <c r="N98" s="13" t="s">
        <v>922</v>
      </c>
      <c r="O98" s="13" t="s">
        <v>1013</v>
      </c>
      <c r="P98" s="13" t="s">
        <v>144</v>
      </c>
      <c r="Q98" s="13" t="s">
        <v>810</v>
      </c>
      <c r="R98" s="13" t="s">
        <v>1079</v>
      </c>
      <c r="S98" s="13" t="s">
        <v>1080</v>
      </c>
      <c r="T98" s="13" t="s">
        <v>1081</v>
      </c>
      <c r="U98" s="13" t="s">
        <v>1082</v>
      </c>
      <c r="V98" s="13" t="s">
        <v>1083</v>
      </c>
      <c r="W98" s="15" t="s">
        <v>1084</v>
      </c>
    </row>
    <row r="99" customFormat="false" ht="53.7" hidden="false" customHeight="false" outlineLevel="0" collapsed="false">
      <c r="A99" s="13" t="s">
        <v>1085</v>
      </c>
      <c r="B99" s="13" t="s">
        <v>1086</v>
      </c>
      <c r="C99" s="13" t="s">
        <v>55</v>
      </c>
      <c r="D99" s="14"/>
      <c r="E99" s="14"/>
      <c r="F99" s="14"/>
      <c r="G99" s="13" t="s">
        <v>805</v>
      </c>
      <c r="H99" s="13" t="s">
        <v>909</v>
      </c>
      <c r="I99" s="13" t="s">
        <v>910</v>
      </c>
      <c r="J99" s="13" t="n">
        <v>1</v>
      </c>
      <c r="K99" s="13" t="s">
        <v>59</v>
      </c>
      <c r="L99" s="13" t="s">
        <v>60</v>
      </c>
      <c r="M99" s="13" t="s">
        <v>620</v>
      </c>
      <c r="N99" s="13" t="s">
        <v>1087</v>
      </c>
      <c r="O99" s="13" t="s">
        <v>189</v>
      </c>
      <c r="P99" s="13" t="s">
        <v>144</v>
      </c>
      <c r="Q99" s="13" t="s">
        <v>810</v>
      </c>
      <c r="R99" s="13" t="s">
        <v>1088</v>
      </c>
      <c r="S99" s="13"/>
      <c r="T99" s="13" t="s">
        <v>916</v>
      </c>
      <c r="U99" s="13" t="s">
        <v>1089</v>
      </c>
      <c r="V99" s="13" t="s">
        <v>1090</v>
      </c>
      <c r="W99" s="15" t="s">
        <v>1091</v>
      </c>
    </row>
    <row r="100" customFormat="false" ht="32.8" hidden="false" customHeight="false" outlineLevel="0" collapsed="false">
      <c r="A100" s="13" t="s">
        <v>1092</v>
      </c>
      <c r="B100" s="13" t="s">
        <v>1093</v>
      </c>
      <c r="C100" s="13" t="s">
        <v>55</v>
      </c>
      <c r="D100" s="14"/>
      <c r="E100" s="14"/>
      <c r="F100" s="14"/>
      <c r="G100" s="13" t="s">
        <v>1094</v>
      </c>
      <c r="H100" s="13"/>
      <c r="I100" s="13" t="s">
        <v>1033</v>
      </c>
      <c r="J100" s="13" t="n">
        <v>1</v>
      </c>
      <c r="K100" s="13" t="s">
        <v>59</v>
      </c>
      <c r="L100" s="13" t="s">
        <v>60</v>
      </c>
      <c r="M100" s="13" t="s">
        <v>1095</v>
      </c>
      <c r="N100" s="13" t="s">
        <v>1096</v>
      </c>
      <c r="O100" s="13" t="s">
        <v>1097</v>
      </c>
      <c r="P100" s="13"/>
      <c r="Q100" s="13" t="s">
        <v>1098</v>
      </c>
      <c r="R100" s="13" t="s">
        <v>1099</v>
      </c>
      <c r="S100" s="13" t="s">
        <v>1100</v>
      </c>
      <c r="T100" s="13" t="s">
        <v>1101</v>
      </c>
      <c r="U100" s="13" t="s">
        <v>1102</v>
      </c>
      <c r="V100" s="13" t="s">
        <v>1103</v>
      </c>
      <c r="W100" s="15" t="s">
        <v>1104</v>
      </c>
    </row>
    <row r="101" customFormat="false" ht="32.8" hidden="false" customHeight="false" outlineLevel="0" collapsed="false">
      <c r="A101" s="13" t="s">
        <v>1105</v>
      </c>
      <c r="B101" s="13" t="s">
        <v>1106</v>
      </c>
      <c r="C101" s="13" t="s">
        <v>55</v>
      </c>
      <c r="D101" s="14"/>
      <c r="E101" s="14"/>
      <c r="F101" s="14"/>
      <c r="G101" s="13" t="s">
        <v>1094</v>
      </c>
      <c r="H101" s="13"/>
      <c r="I101" s="13" t="s">
        <v>1033</v>
      </c>
      <c r="J101" s="13" t="n">
        <v>1</v>
      </c>
      <c r="K101" s="13" t="s">
        <v>59</v>
      </c>
      <c r="L101" s="13" t="s">
        <v>60</v>
      </c>
      <c r="M101" s="13" t="s">
        <v>1034</v>
      </c>
      <c r="N101" s="13" t="s">
        <v>1107</v>
      </c>
      <c r="O101" s="13" t="s">
        <v>1097</v>
      </c>
      <c r="P101" s="13"/>
      <c r="Q101" s="13" t="s">
        <v>1098</v>
      </c>
      <c r="R101" s="13" t="s">
        <v>1108</v>
      </c>
      <c r="S101" s="13" t="s">
        <v>1109</v>
      </c>
      <c r="T101" s="13" t="s">
        <v>1110</v>
      </c>
      <c r="U101" s="13" t="s">
        <v>1111</v>
      </c>
      <c r="V101" s="13" t="s">
        <v>1112</v>
      </c>
      <c r="W101" s="15" t="s">
        <v>1113</v>
      </c>
    </row>
    <row r="102" customFormat="false" ht="53.7" hidden="false" customHeight="false" outlineLevel="0" collapsed="false">
      <c r="A102" s="13" t="s">
        <v>1114</v>
      </c>
      <c r="B102" s="13" t="s">
        <v>1115</v>
      </c>
      <c r="C102" s="13" t="s">
        <v>55</v>
      </c>
      <c r="D102" s="14"/>
      <c r="E102" s="14"/>
      <c r="F102" s="14"/>
      <c r="G102" s="13" t="s">
        <v>1094</v>
      </c>
      <c r="H102" s="13"/>
      <c r="I102" s="13" t="s">
        <v>1033</v>
      </c>
      <c r="J102" s="13" t="n">
        <v>1</v>
      </c>
      <c r="K102" s="13" t="s">
        <v>59</v>
      </c>
      <c r="L102" s="13" t="s">
        <v>60</v>
      </c>
      <c r="M102" s="13" t="s">
        <v>1116</v>
      </c>
      <c r="N102" s="13" t="s">
        <v>1117</v>
      </c>
      <c r="O102" s="13"/>
      <c r="P102" s="13"/>
      <c r="Q102" s="13" t="s">
        <v>1098</v>
      </c>
      <c r="R102" s="13" t="s">
        <v>1118</v>
      </c>
      <c r="S102" s="13"/>
      <c r="T102" s="13" t="s">
        <v>1119</v>
      </c>
      <c r="U102" s="13" t="s">
        <v>1120</v>
      </c>
      <c r="V102" s="13" t="s">
        <v>1121</v>
      </c>
      <c r="W102" s="15" t="s">
        <v>1122</v>
      </c>
    </row>
    <row r="103" customFormat="false" ht="43.25" hidden="false" customHeight="false" outlineLevel="0" collapsed="false">
      <c r="A103" s="13" t="s">
        <v>1123</v>
      </c>
      <c r="B103" s="13" t="s">
        <v>1124</v>
      </c>
      <c r="C103" s="13" t="s">
        <v>55</v>
      </c>
      <c r="D103" s="14"/>
      <c r="E103" s="14"/>
      <c r="F103" s="14"/>
      <c r="G103" s="13" t="s">
        <v>1094</v>
      </c>
      <c r="H103" s="13"/>
      <c r="I103" s="13" t="s">
        <v>1033</v>
      </c>
      <c r="J103" s="13" t="n">
        <v>1</v>
      </c>
      <c r="K103" s="13" t="s">
        <v>59</v>
      </c>
      <c r="L103" s="13" t="s">
        <v>60</v>
      </c>
      <c r="M103" s="13" t="s">
        <v>1125</v>
      </c>
      <c r="N103" s="13" t="s">
        <v>1126</v>
      </c>
      <c r="O103" s="13"/>
      <c r="P103" s="13"/>
      <c r="Q103" s="13" t="s">
        <v>1098</v>
      </c>
      <c r="R103" s="13" t="s">
        <v>1127</v>
      </c>
      <c r="S103" s="13" t="s">
        <v>1128</v>
      </c>
      <c r="T103" s="13" t="s">
        <v>1129</v>
      </c>
      <c r="U103" s="13" t="s">
        <v>1130</v>
      </c>
      <c r="V103" s="13" t="s">
        <v>1131</v>
      </c>
      <c r="W103" s="15" t="s">
        <v>1132</v>
      </c>
    </row>
    <row r="104" customFormat="false" ht="43.25" hidden="false" customHeight="false" outlineLevel="0" collapsed="false">
      <c r="A104" s="13" t="s">
        <v>1133</v>
      </c>
      <c r="B104" s="13" t="s">
        <v>1134</v>
      </c>
      <c r="C104" s="13" t="s">
        <v>55</v>
      </c>
      <c r="D104" s="14"/>
      <c r="E104" s="14"/>
      <c r="F104" s="14"/>
      <c r="G104" s="13" t="s">
        <v>1094</v>
      </c>
      <c r="H104" s="13"/>
      <c r="I104" s="13" t="s">
        <v>1033</v>
      </c>
      <c r="J104" s="13" t="n">
        <v>1</v>
      </c>
      <c r="K104" s="13" t="s">
        <v>59</v>
      </c>
      <c r="L104" s="13" t="s">
        <v>60</v>
      </c>
      <c r="M104" s="13" t="s">
        <v>1125</v>
      </c>
      <c r="N104" s="13" t="s">
        <v>1135</v>
      </c>
      <c r="O104" s="13"/>
      <c r="P104" s="13"/>
      <c r="Q104" s="13" t="s">
        <v>1098</v>
      </c>
      <c r="R104" s="13" t="s">
        <v>1136</v>
      </c>
      <c r="S104" s="13" t="s">
        <v>1137</v>
      </c>
      <c r="T104" s="13" t="s">
        <v>1138</v>
      </c>
      <c r="U104" s="13" t="s">
        <v>1139</v>
      </c>
      <c r="V104" s="13" t="s">
        <v>1140</v>
      </c>
      <c r="W104" s="15" t="s">
        <v>1141</v>
      </c>
    </row>
    <row r="105" customFormat="false" ht="32.8" hidden="false" customHeight="false" outlineLevel="0" collapsed="false">
      <c r="A105" s="13" t="s">
        <v>1142</v>
      </c>
      <c r="B105" s="13" t="s">
        <v>1143</v>
      </c>
      <c r="C105" s="13" t="s">
        <v>1144</v>
      </c>
      <c r="D105" s="14"/>
      <c r="E105" s="14"/>
      <c r="F105" s="14"/>
      <c r="G105" s="13" t="s">
        <v>56</v>
      </c>
      <c r="H105" s="13" t="s">
        <v>332</v>
      </c>
      <c r="I105" s="13" t="s">
        <v>58</v>
      </c>
      <c r="J105" s="13"/>
      <c r="K105" s="13" t="s">
        <v>59</v>
      </c>
      <c r="L105" s="13" t="s">
        <v>395</v>
      </c>
      <c r="M105" s="13" t="s">
        <v>61</v>
      </c>
      <c r="N105" s="13" t="s">
        <v>1145</v>
      </c>
      <c r="O105" s="13" t="s">
        <v>1146</v>
      </c>
      <c r="P105" s="13" t="s">
        <v>1147</v>
      </c>
      <c r="Q105" s="13" t="s">
        <v>336</v>
      </c>
      <c r="R105" s="13" t="s">
        <v>1148</v>
      </c>
      <c r="S105" s="13"/>
      <c r="T105" s="13" t="s">
        <v>1149</v>
      </c>
      <c r="U105" s="13" t="s">
        <v>1150</v>
      </c>
      <c r="V105" s="13" t="s">
        <v>1151</v>
      </c>
      <c r="W105" s="15" t="s">
        <v>1152</v>
      </c>
    </row>
    <row r="106" customFormat="false" ht="32.8" hidden="false" customHeight="false" outlineLevel="0" collapsed="false">
      <c r="A106" s="13" t="s">
        <v>1153</v>
      </c>
      <c r="B106" s="13" t="s">
        <v>1154</v>
      </c>
      <c r="C106" s="13" t="s">
        <v>1144</v>
      </c>
      <c r="D106" s="14"/>
      <c r="E106" s="14"/>
      <c r="F106" s="14"/>
      <c r="G106" s="13" t="s">
        <v>56</v>
      </c>
      <c r="H106" s="13" t="s">
        <v>428</v>
      </c>
      <c r="I106" s="13" t="s">
        <v>58</v>
      </c>
      <c r="J106" s="13"/>
      <c r="K106" s="13" t="s">
        <v>59</v>
      </c>
      <c r="L106" s="13" t="s">
        <v>395</v>
      </c>
      <c r="M106" s="13" t="s">
        <v>229</v>
      </c>
      <c r="N106" s="13" t="s">
        <v>1145</v>
      </c>
      <c r="O106" s="13" t="s">
        <v>376</v>
      </c>
      <c r="P106" s="13" t="s">
        <v>809</v>
      </c>
      <c r="Q106" s="13" t="s">
        <v>336</v>
      </c>
      <c r="R106" s="13" t="s">
        <v>1148</v>
      </c>
      <c r="S106" s="13"/>
      <c r="T106" s="13" t="s">
        <v>1155</v>
      </c>
      <c r="U106" s="13" t="s">
        <v>1156</v>
      </c>
      <c r="V106" s="13" t="s">
        <v>1157</v>
      </c>
      <c r="W106" s="15" t="s">
        <v>1158</v>
      </c>
    </row>
    <row r="107" customFormat="false" ht="32.8" hidden="false" customHeight="false" outlineLevel="0" collapsed="false">
      <c r="A107" s="13" t="s">
        <v>1159</v>
      </c>
      <c r="B107" s="13" t="s">
        <v>1160</v>
      </c>
      <c r="C107" s="13" t="s">
        <v>1144</v>
      </c>
      <c r="D107" s="14"/>
      <c r="E107" s="14"/>
      <c r="F107" s="14"/>
      <c r="G107" s="13" t="s">
        <v>240</v>
      </c>
      <c r="H107" s="13" t="s">
        <v>451</v>
      </c>
      <c r="I107" s="13" t="s">
        <v>198</v>
      </c>
      <c r="J107" s="13"/>
      <c r="K107" s="13" t="s">
        <v>59</v>
      </c>
      <c r="L107" s="13" t="s">
        <v>395</v>
      </c>
      <c r="M107" s="13" t="s">
        <v>620</v>
      </c>
      <c r="N107" s="13" t="s">
        <v>1145</v>
      </c>
      <c r="O107" s="13" t="s">
        <v>1161</v>
      </c>
      <c r="P107" s="13" t="s">
        <v>1162</v>
      </c>
      <c r="Q107" s="13" t="s">
        <v>244</v>
      </c>
      <c r="R107" s="13" t="s">
        <v>1148</v>
      </c>
      <c r="S107" s="13"/>
      <c r="T107" s="13" t="s">
        <v>1163</v>
      </c>
      <c r="U107" s="13" t="s">
        <v>1164</v>
      </c>
      <c r="V107" s="13" t="s">
        <v>1165</v>
      </c>
      <c r="W107" s="15" t="s">
        <v>1166</v>
      </c>
    </row>
    <row r="108" customFormat="false" ht="32.8" hidden="false" customHeight="false" outlineLevel="0" collapsed="false">
      <c r="A108" s="13" t="s">
        <v>1167</v>
      </c>
      <c r="B108" s="13" t="s">
        <v>1168</v>
      </c>
      <c r="C108" s="13" t="s">
        <v>1144</v>
      </c>
      <c r="D108" s="14"/>
      <c r="E108" s="14"/>
      <c r="F108" s="14"/>
      <c r="G108" s="13" t="s">
        <v>240</v>
      </c>
      <c r="H108" s="13" t="s">
        <v>451</v>
      </c>
      <c r="I108" s="13" t="s">
        <v>198</v>
      </c>
      <c r="J108" s="13"/>
      <c r="K108" s="13" t="s">
        <v>59</v>
      </c>
      <c r="L108" s="13" t="s">
        <v>60</v>
      </c>
      <c r="M108" s="13" t="s">
        <v>98</v>
      </c>
      <c r="N108" s="13" t="s">
        <v>1145</v>
      </c>
      <c r="O108" s="13" t="s">
        <v>567</v>
      </c>
      <c r="P108" s="13" t="s">
        <v>463</v>
      </c>
      <c r="Q108" s="13" t="s">
        <v>244</v>
      </c>
      <c r="R108" s="13" t="s">
        <v>1148</v>
      </c>
      <c r="S108" s="13"/>
      <c r="T108" s="13" t="s">
        <v>1169</v>
      </c>
      <c r="U108" s="13" t="s">
        <v>1170</v>
      </c>
      <c r="V108" s="13" t="s">
        <v>1171</v>
      </c>
      <c r="W108" s="15" t="s">
        <v>1172</v>
      </c>
    </row>
    <row r="109" customFormat="false" ht="32.8" hidden="false" customHeight="false" outlineLevel="0" collapsed="false">
      <c r="A109" s="13" t="s">
        <v>1173</v>
      </c>
      <c r="B109" s="13" t="s">
        <v>1174</v>
      </c>
      <c r="C109" s="13" t="s">
        <v>1144</v>
      </c>
      <c r="D109" s="14"/>
      <c r="E109" s="14"/>
      <c r="F109" s="14"/>
      <c r="G109" s="13" t="s">
        <v>240</v>
      </c>
      <c r="H109" s="13" t="s">
        <v>838</v>
      </c>
      <c r="I109" s="13" t="s">
        <v>186</v>
      </c>
      <c r="J109" s="13"/>
      <c r="K109" s="13" t="s">
        <v>59</v>
      </c>
      <c r="L109" s="13" t="s">
        <v>60</v>
      </c>
      <c r="M109" s="13" t="s">
        <v>98</v>
      </c>
      <c r="N109" s="13" t="s">
        <v>1145</v>
      </c>
      <c r="O109" s="13" t="s">
        <v>418</v>
      </c>
      <c r="P109" s="13" t="s">
        <v>1175</v>
      </c>
      <c r="Q109" s="13" t="s">
        <v>244</v>
      </c>
      <c r="R109" s="13" t="s">
        <v>1148</v>
      </c>
      <c r="S109" s="13"/>
      <c r="T109" s="13" t="s">
        <v>1176</v>
      </c>
      <c r="U109" s="13" t="s">
        <v>1177</v>
      </c>
      <c r="V109" s="13" t="s">
        <v>1178</v>
      </c>
      <c r="W109" s="15" t="s">
        <v>1179</v>
      </c>
    </row>
    <row r="110" customFormat="false" ht="43.25" hidden="false" customHeight="false" outlineLevel="0" collapsed="false">
      <c r="A110" s="13" t="s">
        <v>1180</v>
      </c>
      <c r="B110" s="13" t="s">
        <v>1181</v>
      </c>
      <c r="C110" s="13" t="s">
        <v>1144</v>
      </c>
      <c r="D110" s="14"/>
      <c r="E110" s="14"/>
      <c r="F110" s="14"/>
      <c r="G110" s="13" t="s">
        <v>240</v>
      </c>
      <c r="H110" s="13" t="s">
        <v>533</v>
      </c>
      <c r="I110" s="13" t="s">
        <v>58</v>
      </c>
      <c r="J110" s="13"/>
      <c r="K110" s="13" t="s">
        <v>59</v>
      </c>
      <c r="L110" s="13" t="s">
        <v>60</v>
      </c>
      <c r="M110" s="13" t="s">
        <v>86</v>
      </c>
      <c r="N110" s="13" t="s">
        <v>1145</v>
      </c>
      <c r="O110" s="13" t="s">
        <v>494</v>
      </c>
      <c r="P110" s="13" t="s">
        <v>1182</v>
      </c>
      <c r="Q110" s="13" t="s">
        <v>244</v>
      </c>
      <c r="R110" s="13" t="s">
        <v>1148</v>
      </c>
      <c r="S110" s="13"/>
      <c r="T110" s="13" t="s">
        <v>1183</v>
      </c>
      <c r="U110" s="13" t="s">
        <v>1184</v>
      </c>
      <c r="V110" s="13" t="s">
        <v>1185</v>
      </c>
      <c r="W110" s="15" t="s">
        <v>1186</v>
      </c>
    </row>
    <row r="111" customFormat="false" ht="53.7" hidden="false" customHeight="false" outlineLevel="0" collapsed="false">
      <c r="A111" s="13" t="s">
        <v>1187</v>
      </c>
      <c r="B111" s="13" t="s">
        <v>1188</v>
      </c>
      <c r="C111" s="13" t="s">
        <v>1144</v>
      </c>
      <c r="D111" s="14"/>
      <c r="E111" s="14"/>
      <c r="F111" s="14"/>
      <c r="G111" s="13" t="s">
        <v>56</v>
      </c>
      <c r="H111" s="13" t="s">
        <v>57</v>
      </c>
      <c r="I111" s="13" t="s">
        <v>58</v>
      </c>
      <c r="J111" s="13"/>
      <c r="K111" s="13" t="s">
        <v>59</v>
      </c>
      <c r="L111" s="13" t="s">
        <v>131</v>
      </c>
      <c r="M111" s="13" t="s">
        <v>98</v>
      </c>
      <c r="N111" s="13" t="s">
        <v>1145</v>
      </c>
      <c r="O111" s="13" t="s">
        <v>63</v>
      </c>
      <c r="P111" s="13" t="s">
        <v>100</v>
      </c>
      <c r="Q111" s="13" t="s">
        <v>1189</v>
      </c>
      <c r="R111" s="13" t="s">
        <v>1148</v>
      </c>
      <c r="S111" s="13"/>
      <c r="T111" s="13" t="s">
        <v>259</v>
      </c>
      <c r="U111" s="13" t="s">
        <v>1190</v>
      </c>
      <c r="V111" s="13" t="s">
        <v>1191</v>
      </c>
      <c r="W111" s="15" t="s">
        <v>1192</v>
      </c>
    </row>
    <row r="112" customFormat="false" ht="32.8" hidden="false" customHeight="false" outlineLevel="0" collapsed="false">
      <c r="A112" s="13" t="s">
        <v>1193</v>
      </c>
      <c r="B112" s="13" t="s">
        <v>1194</v>
      </c>
      <c r="C112" s="13" t="s">
        <v>1144</v>
      </c>
      <c r="D112" s="14"/>
      <c r="E112" s="14"/>
      <c r="F112" s="14"/>
      <c r="G112" s="13" t="s">
        <v>56</v>
      </c>
      <c r="H112" s="13" t="s">
        <v>142</v>
      </c>
      <c r="I112" s="13" t="s">
        <v>58</v>
      </c>
      <c r="J112" s="13"/>
      <c r="K112" s="13" t="s">
        <v>59</v>
      </c>
      <c r="L112" s="13" t="s">
        <v>60</v>
      </c>
      <c r="M112" s="13" t="s">
        <v>61</v>
      </c>
      <c r="N112" s="13" t="s">
        <v>1145</v>
      </c>
      <c r="O112" s="13" t="s">
        <v>144</v>
      </c>
      <c r="P112" s="13" t="s">
        <v>1024</v>
      </c>
      <c r="Q112" s="13" t="s">
        <v>65</v>
      </c>
      <c r="R112" s="13" t="s">
        <v>1148</v>
      </c>
      <c r="S112" s="13"/>
      <c r="T112" s="13" t="s">
        <v>1195</v>
      </c>
      <c r="U112" s="13" t="s">
        <v>1196</v>
      </c>
      <c r="V112" s="13" t="s">
        <v>249</v>
      </c>
      <c r="W112" s="15" t="s">
        <v>1197</v>
      </c>
    </row>
    <row r="113" customFormat="false" ht="32.8" hidden="false" customHeight="false" outlineLevel="0" collapsed="false">
      <c r="A113" s="13" t="s">
        <v>1198</v>
      </c>
      <c r="B113" s="13" t="s">
        <v>1199</v>
      </c>
      <c r="C113" s="13" t="s">
        <v>1144</v>
      </c>
      <c r="D113" s="14"/>
      <c r="E113" s="14"/>
      <c r="F113" s="14"/>
      <c r="G113" s="13" t="s">
        <v>56</v>
      </c>
      <c r="H113" s="13" t="s">
        <v>154</v>
      </c>
      <c r="I113" s="13" t="s">
        <v>58</v>
      </c>
      <c r="J113" s="13"/>
      <c r="K113" s="13" t="s">
        <v>59</v>
      </c>
      <c r="L113" s="13" t="s">
        <v>395</v>
      </c>
      <c r="M113" s="13" t="s">
        <v>620</v>
      </c>
      <c r="N113" s="13" t="s">
        <v>1145</v>
      </c>
      <c r="O113" s="13" t="s">
        <v>122</v>
      </c>
      <c r="P113" s="13" t="s">
        <v>110</v>
      </c>
      <c r="Q113" s="13" t="s">
        <v>336</v>
      </c>
      <c r="R113" s="13" t="s">
        <v>1148</v>
      </c>
      <c r="S113" s="13"/>
      <c r="T113" s="13" t="s">
        <v>1200</v>
      </c>
      <c r="U113" s="13" t="s">
        <v>1201</v>
      </c>
      <c r="V113" s="13" t="s">
        <v>1202</v>
      </c>
      <c r="W113" s="15" t="s">
        <v>1203</v>
      </c>
    </row>
    <row r="114" customFormat="false" ht="32.8" hidden="false" customHeight="false" outlineLevel="0" collapsed="false">
      <c r="A114" s="13" t="s">
        <v>1204</v>
      </c>
      <c r="B114" s="13" t="s">
        <v>1205</v>
      </c>
      <c r="C114" s="13" t="s">
        <v>1144</v>
      </c>
      <c r="D114" s="14"/>
      <c r="E114" s="14"/>
      <c r="F114" s="14"/>
      <c r="G114" s="13" t="s">
        <v>56</v>
      </c>
      <c r="H114" s="13" t="s">
        <v>154</v>
      </c>
      <c r="I114" s="13" t="s">
        <v>58</v>
      </c>
      <c r="J114" s="13"/>
      <c r="K114" s="13" t="s">
        <v>59</v>
      </c>
      <c r="L114" s="13" t="s">
        <v>60</v>
      </c>
      <c r="M114" s="13" t="s">
        <v>61</v>
      </c>
      <c r="N114" s="13" t="s">
        <v>1145</v>
      </c>
      <c r="O114" s="13" t="s">
        <v>144</v>
      </c>
      <c r="P114" s="13" t="s">
        <v>1024</v>
      </c>
      <c r="Q114" s="13" t="s">
        <v>65</v>
      </c>
      <c r="R114" s="13" t="s">
        <v>1148</v>
      </c>
      <c r="S114" s="13"/>
      <c r="T114" s="13" t="s">
        <v>1206</v>
      </c>
      <c r="U114" s="13" t="s">
        <v>1207</v>
      </c>
      <c r="V114" s="13" t="s">
        <v>171</v>
      </c>
      <c r="W114" s="15" t="s">
        <v>1208</v>
      </c>
    </row>
    <row r="115" customFormat="false" ht="64.15" hidden="false" customHeight="false" outlineLevel="0" collapsed="false">
      <c r="A115" s="13" t="s">
        <v>1209</v>
      </c>
      <c r="B115" s="13" t="s">
        <v>1210</v>
      </c>
      <c r="C115" s="13" t="s">
        <v>1144</v>
      </c>
      <c r="D115" s="14"/>
      <c r="E115" s="14"/>
      <c r="F115" s="14"/>
      <c r="G115" s="13" t="s">
        <v>240</v>
      </c>
      <c r="H115" s="13" t="s">
        <v>451</v>
      </c>
      <c r="I115" s="13" t="s">
        <v>58</v>
      </c>
      <c r="J115" s="13"/>
      <c r="K115" s="13" t="s">
        <v>59</v>
      </c>
      <c r="L115" s="13" t="s">
        <v>60</v>
      </c>
      <c r="M115" s="13" t="s">
        <v>86</v>
      </c>
      <c r="N115" s="13" t="s">
        <v>1145</v>
      </c>
      <c r="O115" s="13" t="s">
        <v>454</v>
      </c>
      <c r="P115" s="13" t="s">
        <v>1211</v>
      </c>
      <c r="Q115" s="13" t="s">
        <v>244</v>
      </c>
      <c r="R115" s="13" t="s">
        <v>1148</v>
      </c>
      <c r="S115" s="13"/>
      <c r="T115" s="13" t="s">
        <v>92</v>
      </c>
      <c r="U115" s="13" t="s">
        <v>1212</v>
      </c>
      <c r="V115" s="13" t="s">
        <v>1213</v>
      </c>
      <c r="W115" s="15" t="s">
        <v>1214</v>
      </c>
    </row>
    <row r="116" customFormat="false" ht="22.35" hidden="false" customHeight="false" outlineLevel="0" collapsed="false">
      <c r="A116" s="13" t="s">
        <v>1215</v>
      </c>
      <c r="B116" s="13" t="s">
        <v>1216</v>
      </c>
      <c r="C116" s="13" t="s">
        <v>1144</v>
      </c>
      <c r="D116" s="14"/>
      <c r="E116" s="14"/>
      <c r="F116" s="14"/>
      <c r="G116" s="13" t="s">
        <v>1094</v>
      </c>
      <c r="H116" s="13" t="s">
        <v>451</v>
      </c>
      <c r="I116" s="13" t="s">
        <v>1033</v>
      </c>
      <c r="J116" s="13"/>
      <c r="K116" s="13" t="s">
        <v>59</v>
      </c>
      <c r="L116" s="13" t="s">
        <v>60</v>
      </c>
      <c r="M116" s="13" t="s">
        <v>849</v>
      </c>
      <c r="N116" s="13" t="s">
        <v>1145</v>
      </c>
      <c r="O116" s="13" t="s">
        <v>1097</v>
      </c>
      <c r="P116" s="13" t="s">
        <v>232</v>
      </c>
      <c r="Q116" s="13" t="s">
        <v>1098</v>
      </c>
      <c r="R116" s="13" t="s">
        <v>1148</v>
      </c>
      <c r="S116" s="13"/>
      <c r="T116" s="13" t="s">
        <v>1217</v>
      </c>
      <c r="U116" s="13" t="s">
        <v>1218</v>
      </c>
      <c r="V116" s="13" t="s">
        <v>1103</v>
      </c>
      <c r="W116" s="15" t="s">
        <v>1219</v>
      </c>
    </row>
    <row r="117" customFormat="false" ht="32.8" hidden="false" customHeight="false" outlineLevel="0" collapsed="false">
      <c r="A117" s="13" t="s">
        <v>1220</v>
      </c>
      <c r="B117" s="13" t="s">
        <v>1221</v>
      </c>
      <c r="C117" s="13" t="s">
        <v>1144</v>
      </c>
      <c r="D117" s="14"/>
      <c r="E117" s="14"/>
      <c r="F117" s="14"/>
      <c r="G117" s="13" t="s">
        <v>1222</v>
      </c>
      <c r="H117" s="13" t="s">
        <v>838</v>
      </c>
      <c r="I117" s="13" t="s">
        <v>806</v>
      </c>
      <c r="J117" s="13"/>
      <c r="K117" s="13" t="s">
        <v>59</v>
      </c>
      <c r="L117" s="13" t="s">
        <v>60</v>
      </c>
      <c r="M117" s="13" t="s">
        <v>911</v>
      </c>
      <c r="N117" s="13" t="s">
        <v>1145</v>
      </c>
      <c r="O117" s="13" t="s">
        <v>1223</v>
      </c>
      <c r="P117" s="13" t="s">
        <v>453</v>
      </c>
      <c r="Q117" s="13" t="s">
        <v>1224</v>
      </c>
      <c r="R117" s="13" t="s">
        <v>1148</v>
      </c>
      <c r="S117" s="13"/>
      <c r="T117" s="13" t="s">
        <v>1225</v>
      </c>
      <c r="U117" s="13" t="s">
        <v>1226</v>
      </c>
      <c r="V117" s="13" t="s">
        <v>1227</v>
      </c>
      <c r="W117" s="15" t="s">
        <v>1228</v>
      </c>
    </row>
    <row r="118" customFormat="false" ht="53.7" hidden="false" customHeight="false" outlineLevel="0" collapsed="false">
      <c r="A118" s="13" t="s">
        <v>1229</v>
      </c>
      <c r="B118" s="13" t="s">
        <v>1230</v>
      </c>
      <c r="C118" s="13" t="s">
        <v>1144</v>
      </c>
      <c r="D118" s="14"/>
      <c r="E118" s="14"/>
      <c r="F118" s="14"/>
      <c r="G118" s="13" t="s">
        <v>861</v>
      </c>
      <c r="H118" s="13" t="s">
        <v>909</v>
      </c>
      <c r="I118" s="13" t="s">
        <v>910</v>
      </c>
      <c r="J118" s="13"/>
      <c r="K118" s="13" t="s">
        <v>59</v>
      </c>
      <c r="L118" s="13" t="s">
        <v>60</v>
      </c>
      <c r="M118" s="13" t="s">
        <v>911</v>
      </c>
      <c r="N118" s="13" t="s">
        <v>1145</v>
      </c>
      <c r="O118" s="13" t="s">
        <v>189</v>
      </c>
      <c r="P118" s="13" t="s">
        <v>1231</v>
      </c>
      <c r="Q118" s="13" t="s">
        <v>865</v>
      </c>
      <c r="R118" s="13" t="s">
        <v>1148</v>
      </c>
      <c r="S118" s="13"/>
      <c r="T118" s="13" t="s">
        <v>1232</v>
      </c>
      <c r="U118" s="13" t="s">
        <v>1233</v>
      </c>
      <c r="V118" s="13" t="s">
        <v>1234</v>
      </c>
      <c r="W118" s="15" t="s">
        <v>1235</v>
      </c>
    </row>
    <row r="119" customFormat="false" ht="32.8" hidden="false" customHeight="false" outlineLevel="0" collapsed="false">
      <c r="A119" s="13" t="s">
        <v>1236</v>
      </c>
      <c r="B119" s="13" t="s">
        <v>1237</v>
      </c>
      <c r="C119" s="13" t="s">
        <v>1144</v>
      </c>
      <c r="D119" s="14"/>
      <c r="E119" s="14"/>
      <c r="F119" s="14"/>
      <c r="G119" s="13" t="s">
        <v>56</v>
      </c>
      <c r="H119" s="13" t="s">
        <v>909</v>
      </c>
      <c r="I119" s="13" t="s">
        <v>806</v>
      </c>
      <c r="J119" s="13"/>
      <c r="K119" s="13" t="s">
        <v>59</v>
      </c>
      <c r="L119" s="13" t="s">
        <v>60</v>
      </c>
      <c r="M119" s="13" t="s">
        <v>911</v>
      </c>
      <c r="N119" s="13" t="s">
        <v>1145</v>
      </c>
      <c r="O119" s="13" t="s">
        <v>1238</v>
      </c>
      <c r="P119" s="13"/>
      <c r="Q119" s="13" t="s">
        <v>420</v>
      </c>
      <c r="R119" s="13" t="s">
        <v>1148</v>
      </c>
      <c r="S119" s="13"/>
      <c r="T119" s="13" t="s">
        <v>1239</v>
      </c>
      <c r="U119" s="13" t="s">
        <v>1240</v>
      </c>
      <c r="V119" s="13" t="s">
        <v>1241</v>
      </c>
      <c r="W119" s="15" t="s">
        <v>1242</v>
      </c>
    </row>
    <row r="120" customFormat="false" ht="22.35" hidden="false" customHeight="false" outlineLevel="0" collapsed="false">
      <c r="A120" s="13" t="s">
        <v>1243</v>
      </c>
      <c r="B120" s="13" t="s">
        <v>1244</v>
      </c>
      <c r="C120" s="13" t="s">
        <v>1144</v>
      </c>
      <c r="D120" s="14"/>
      <c r="E120" s="14"/>
      <c r="F120" s="14"/>
      <c r="G120" s="13" t="s">
        <v>805</v>
      </c>
      <c r="H120" s="13" t="s">
        <v>374</v>
      </c>
      <c r="I120" s="13" t="s">
        <v>806</v>
      </c>
      <c r="J120" s="13"/>
      <c r="K120" s="13" t="s">
        <v>59</v>
      </c>
      <c r="L120" s="13" t="s">
        <v>85</v>
      </c>
      <c r="M120" s="13" t="s">
        <v>911</v>
      </c>
      <c r="N120" s="13" t="s">
        <v>1145</v>
      </c>
      <c r="O120" s="13" t="s">
        <v>1245</v>
      </c>
      <c r="P120" s="13" t="s">
        <v>1246</v>
      </c>
      <c r="Q120" s="13" t="s">
        <v>810</v>
      </c>
      <c r="R120" s="13" t="s">
        <v>1148</v>
      </c>
      <c r="S120" s="13"/>
      <c r="T120" s="13" t="s">
        <v>1247</v>
      </c>
      <c r="U120" s="13" t="s">
        <v>1248</v>
      </c>
      <c r="V120" s="13" t="s">
        <v>1249</v>
      </c>
      <c r="W120" s="15" t="s">
        <v>1250</v>
      </c>
    </row>
    <row r="121" customFormat="false" ht="32.8" hidden="false" customHeight="false" outlineLevel="0" collapsed="false">
      <c r="A121" s="13" t="s">
        <v>1251</v>
      </c>
      <c r="B121" s="13" t="s">
        <v>1252</v>
      </c>
      <c r="C121" s="13" t="s">
        <v>1144</v>
      </c>
      <c r="D121" s="14"/>
      <c r="E121" s="14"/>
      <c r="F121" s="14"/>
      <c r="G121" s="13" t="s">
        <v>805</v>
      </c>
      <c r="H121" s="13" t="s">
        <v>909</v>
      </c>
      <c r="I121" s="13" t="s">
        <v>806</v>
      </c>
      <c r="J121" s="13"/>
      <c r="K121" s="13" t="s">
        <v>59</v>
      </c>
      <c r="L121" s="13" t="s">
        <v>131</v>
      </c>
      <c r="M121" s="13" t="s">
        <v>911</v>
      </c>
      <c r="N121" s="13" t="s">
        <v>1145</v>
      </c>
      <c r="O121" s="13" t="s">
        <v>1253</v>
      </c>
      <c r="P121" s="13" t="s">
        <v>1254</v>
      </c>
      <c r="Q121" s="13" t="s">
        <v>810</v>
      </c>
      <c r="R121" s="13" t="s">
        <v>1148</v>
      </c>
      <c r="S121" s="13"/>
      <c r="T121" s="13" t="s">
        <v>1255</v>
      </c>
      <c r="U121" s="13" t="s">
        <v>1256</v>
      </c>
      <c r="V121" s="13" t="s">
        <v>1257</v>
      </c>
      <c r="W121" s="15" t="s">
        <v>1258</v>
      </c>
    </row>
    <row r="122" customFormat="false" ht="32.8" hidden="false" customHeight="false" outlineLevel="0" collapsed="false">
      <c r="A122" s="13" t="s">
        <v>1259</v>
      </c>
      <c r="B122" s="13" t="s">
        <v>1260</v>
      </c>
      <c r="C122" s="13" t="s">
        <v>1144</v>
      </c>
      <c r="D122" s="14"/>
      <c r="E122" s="14"/>
      <c r="F122" s="14"/>
      <c r="G122" s="13" t="s">
        <v>805</v>
      </c>
      <c r="H122" s="13" t="s">
        <v>909</v>
      </c>
      <c r="I122" s="13" t="s">
        <v>806</v>
      </c>
      <c r="J122" s="13"/>
      <c r="K122" s="13" t="s">
        <v>59</v>
      </c>
      <c r="L122" s="13" t="s">
        <v>60</v>
      </c>
      <c r="M122" s="13" t="s">
        <v>911</v>
      </c>
      <c r="N122" s="13" t="s">
        <v>1145</v>
      </c>
      <c r="O122" s="13" t="s">
        <v>1261</v>
      </c>
      <c r="P122" s="13"/>
      <c r="Q122" s="13" t="s">
        <v>810</v>
      </c>
      <c r="R122" s="13" t="s">
        <v>1148</v>
      </c>
      <c r="S122" s="13"/>
      <c r="T122" s="13" t="s">
        <v>1262</v>
      </c>
      <c r="U122" s="13" t="s">
        <v>1263</v>
      </c>
      <c r="V122" s="13" t="s">
        <v>1249</v>
      </c>
      <c r="W122" s="15" t="s">
        <v>1264</v>
      </c>
    </row>
    <row r="123" customFormat="false" ht="32.8" hidden="false" customHeight="false" outlineLevel="0" collapsed="false">
      <c r="A123" s="13" t="s">
        <v>1265</v>
      </c>
      <c r="B123" s="13" t="s">
        <v>1266</v>
      </c>
      <c r="C123" s="13" t="s">
        <v>1144</v>
      </c>
      <c r="D123" s="14"/>
      <c r="E123" s="14"/>
      <c r="F123" s="14"/>
      <c r="G123" s="13" t="s">
        <v>805</v>
      </c>
      <c r="H123" s="13" t="s">
        <v>265</v>
      </c>
      <c r="I123" s="13" t="s">
        <v>910</v>
      </c>
      <c r="J123" s="13"/>
      <c r="K123" s="13" t="s">
        <v>59</v>
      </c>
      <c r="L123" s="13" t="s">
        <v>85</v>
      </c>
      <c r="M123" s="13" t="s">
        <v>849</v>
      </c>
      <c r="N123" s="13" t="s">
        <v>1145</v>
      </c>
      <c r="O123" s="13" t="s">
        <v>1254</v>
      </c>
      <c r="P123" s="13" t="s">
        <v>387</v>
      </c>
      <c r="Q123" s="13" t="s">
        <v>810</v>
      </c>
      <c r="R123" s="13" t="s">
        <v>1148</v>
      </c>
      <c r="S123" s="13"/>
      <c r="T123" s="13" t="s">
        <v>1267</v>
      </c>
      <c r="U123" s="13" t="s">
        <v>1268</v>
      </c>
      <c r="V123" s="13" t="s">
        <v>1269</v>
      </c>
      <c r="W123" s="15" t="s">
        <v>1270</v>
      </c>
    </row>
    <row r="124" customFormat="false" ht="53.7" hidden="false" customHeight="false" outlineLevel="0" collapsed="false">
      <c r="A124" s="13" t="s">
        <v>1271</v>
      </c>
      <c r="B124" s="13" t="s">
        <v>1272</v>
      </c>
      <c r="C124" s="13" t="s">
        <v>1144</v>
      </c>
      <c r="D124" s="14"/>
      <c r="E124" s="14"/>
      <c r="F124" s="14"/>
      <c r="G124" s="13" t="s">
        <v>805</v>
      </c>
      <c r="H124" s="13" t="s">
        <v>428</v>
      </c>
      <c r="I124" s="13" t="s">
        <v>910</v>
      </c>
      <c r="J124" s="13"/>
      <c r="K124" s="13" t="s">
        <v>59</v>
      </c>
      <c r="L124" s="13" t="s">
        <v>60</v>
      </c>
      <c r="M124" s="13" t="s">
        <v>849</v>
      </c>
      <c r="N124" s="13" t="s">
        <v>1145</v>
      </c>
      <c r="O124" s="13" t="s">
        <v>1273</v>
      </c>
      <c r="P124" s="13"/>
      <c r="Q124" s="13" t="s">
        <v>810</v>
      </c>
      <c r="R124" s="13" t="s">
        <v>1148</v>
      </c>
      <c r="S124" s="13"/>
      <c r="T124" s="13" t="s">
        <v>1274</v>
      </c>
      <c r="U124" s="13" t="s">
        <v>1275</v>
      </c>
      <c r="V124" s="13" t="s">
        <v>1276</v>
      </c>
      <c r="W124" s="15" t="s">
        <v>1277</v>
      </c>
    </row>
    <row r="125" customFormat="false" ht="32.8" hidden="false" customHeight="false" outlineLevel="0" collapsed="false">
      <c r="A125" s="13" t="s">
        <v>1278</v>
      </c>
      <c r="B125" s="13" t="s">
        <v>1279</v>
      </c>
      <c r="C125" s="13" t="s">
        <v>1144</v>
      </c>
      <c r="D125" s="14"/>
      <c r="E125" s="14"/>
      <c r="F125" s="14"/>
      <c r="G125" s="13" t="s">
        <v>861</v>
      </c>
      <c r="H125" s="13" t="s">
        <v>909</v>
      </c>
      <c r="I125" s="13" t="s">
        <v>910</v>
      </c>
      <c r="J125" s="13"/>
      <c r="K125" s="13" t="s">
        <v>59</v>
      </c>
      <c r="L125" s="13" t="s">
        <v>60</v>
      </c>
      <c r="M125" s="13" t="s">
        <v>86</v>
      </c>
      <c r="N125" s="13" t="s">
        <v>1145</v>
      </c>
      <c r="O125" s="13" t="s">
        <v>189</v>
      </c>
      <c r="P125" s="13" t="s">
        <v>1280</v>
      </c>
      <c r="Q125" s="13" t="s">
        <v>865</v>
      </c>
      <c r="R125" s="13" t="s">
        <v>1148</v>
      </c>
      <c r="S125" s="13"/>
      <c r="T125" s="13" t="s">
        <v>1281</v>
      </c>
      <c r="U125" s="13" t="s">
        <v>1282</v>
      </c>
      <c r="V125" s="13" t="s">
        <v>1283</v>
      </c>
      <c r="W125" s="15" t="s">
        <v>1284</v>
      </c>
    </row>
    <row r="126" customFormat="false" ht="53.7" hidden="false" customHeight="false" outlineLevel="0" collapsed="false">
      <c r="A126" s="13" t="s">
        <v>1285</v>
      </c>
      <c r="B126" s="13" t="s">
        <v>1286</v>
      </c>
      <c r="C126" s="13" t="s">
        <v>1144</v>
      </c>
      <c r="D126" s="14"/>
      <c r="E126" s="14"/>
      <c r="F126" s="14"/>
      <c r="G126" s="13" t="s">
        <v>805</v>
      </c>
      <c r="H126" s="13" t="s">
        <v>57</v>
      </c>
      <c r="I126" s="13" t="s">
        <v>806</v>
      </c>
      <c r="J126" s="13"/>
      <c r="K126" s="13" t="s">
        <v>59</v>
      </c>
      <c r="L126" s="13" t="s">
        <v>60</v>
      </c>
      <c r="M126" s="13" t="s">
        <v>849</v>
      </c>
      <c r="N126" s="13" t="s">
        <v>1145</v>
      </c>
      <c r="O126" s="13" t="s">
        <v>475</v>
      </c>
      <c r="P126" s="13" t="s">
        <v>88</v>
      </c>
      <c r="Q126" s="13" t="s">
        <v>810</v>
      </c>
      <c r="R126" s="13" t="s">
        <v>1148</v>
      </c>
      <c r="S126" s="13"/>
      <c r="T126" s="13" t="s">
        <v>1287</v>
      </c>
      <c r="U126" s="13" t="s">
        <v>1288</v>
      </c>
      <c r="V126" s="13" t="s">
        <v>1289</v>
      </c>
      <c r="W126" s="15" t="s">
        <v>1290</v>
      </c>
    </row>
    <row r="127" customFormat="false" ht="32.8" hidden="false" customHeight="false" outlineLevel="0" collapsed="false">
      <c r="A127" s="13" t="s">
        <v>1291</v>
      </c>
      <c r="B127" s="13" t="s">
        <v>1292</v>
      </c>
      <c r="C127" s="13" t="s">
        <v>1144</v>
      </c>
      <c r="D127" s="14"/>
      <c r="E127" s="14"/>
      <c r="F127" s="14"/>
      <c r="G127" s="13" t="s">
        <v>805</v>
      </c>
      <c r="H127" s="13" t="s">
        <v>84</v>
      </c>
      <c r="I127" s="13" t="s">
        <v>806</v>
      </c>
      <c r="J127" s="13"/>
      <c r="K127" s="13" t="s">
        <v>59</v>
      </c>
      <c r="L127" s="13" t="s">
        <v>60</v>
      </c>
      <c r="M127" s="13" t="s">
        <v>849</v>
      </c>
      <c r="N127" s="13" t="s">
        <v>1145</v>
      </c>
      <c r="O127" s="13" t="s">
        <v>76</v>
      </c>
      <c r="P127" s="13" t="s">
        <v>220</v>
      </c>
      <c r="Q127" s="13" t="s">
        <v>810</v>
      </c>
      <c r="R127" s="13" t="s">
        <v>1148</v>
      </c>
      <c r="S127" s="13"/>
      <c r="T127" s="13" t="s">
        <v>1293</v>
      </c>
      <c r="U127" s="13" t="s">
        <v>1294</v>
      </c>
      <c r="V127" s="13" t="s">
        <v>1295</v>
      </c>
      <c r="W127" s="15" t="s">
        <v>1296</v>
      </c>
    </row>
    <row r="128" customFormat="false" ht="53.7" hidden="false" customHeight="false" outlineLevel="0" collapsed="false">
      <c r="A128" s="13" t="s">
        <v>1297</v>
      </c>
      <c r="B128" s="13" t="s">
        <v>1298</v>
      </c>
      <c r="C128" s="13" t="s">
        <v>1144</v>
      </c>
      <c r="D128" s="14"/>
      <c r="E128" s="14"/>
      <c r="F128" s="14"/>
      <c r="G128" s="13" t="s">
        <v>805</v>
      </c>
      <c r="H128" s="13" t="s">
        <v>154</v>
      </c>
      <c r="I128" s="13" t="s">
        <v>910</v>
      </c>
      <c r="J128" s="13"/>
      <c r="K128" s="13" t="s">
        <v>59</v>
      </c>
      <c r="L128" s="13" t="s">
        <v>60</v>
      </c>
      <c r="M128" s="13" t="s">
        <v>849</v>
      </c>
      <c r="N128" s="13" t="s">
        <v>1145</v>
      </c>
      <c r="O128" s="13" t="s">
        <v>984</v>
      </c>
      <c r="P128" s="13"/>
      <c r="Q128" s="13" t="s">
        <v>810</v>
      </c>
      <c r="R128" s="13" t="s">
        <v>1148</v>
      </c>
      <c r="S128" s="13"/>
      <c r="T128" s="13" t="s">
        <v>1299</v>
      </c>
      <c r="U128" s="13" t="s">
        <v>1300</v>
      </c>
      <c r="V128" s="13" t="s">
        <v>1301</v>
      </c>
      <c r="W128" s="15" t="s">
        <v>1302</v>
      </c>
    </row>
    <row r="129" customFormat="false" ht="53.7" hidden="false" customHeight="false" outlineLevel="0" collapsed="false">
      <c r="A129" s="13" t="s">
        <v>1303</v>
      </c>
      <c r="B129" s="13" t="s">
        <v>1304</v>
      </c>
      <c r="C129" s="13" t="s">
        <v>1144</v>
      </c>
      <c r="D129" s="14"/>
      <c r="E129" s="14"/>
      <c r="F129" s="14"/>
      <c r="G129" s="13" t="s">
        <v>805</v>
      </c>
      <c r="H129" s="13" t="s">
        <v>84</v>
      </c>
      <c r="I129" s="13" t="s">
        <v>806</v>
      </c>
      <c r="J129" s="13"/>
      <c r="K129" s="13" t="s">
        <v>59</v>
      </c>
      <c r="L129" s="13" t="s">
        <v>85</v>
      </c>
      <c r="M129" s="13" t="s">
        <v>849</v>
      </c>
      <c r="N129" s="13" t="s">
        <v>1145</v>
      </c>
      <c r="O129" s="13" t="s">
        <v>220</v>
      </c>
      <c r="P129" s="13"/>
      <c r="Q129" s="13" t="s">
        <v>810</v>
      </c>
      <c r="R129" s="13" t="s">
        <v>1148</v>
      </c>
      <c r="S129" s="13"/>
      <c r="T129" s="13" t="s">
        <v>1305</v>
      </c>
      <c r="U129" s="13" t="s">
        <v>1306</v>
      </c>
      <c r="V129" s="13" t="s">
        <v>1307</v>
      </c>
      <c r="W129" s="15" t="s">
        <v>1308</v>
      </c>
    </row>
    <row r="130" customFormat="false" ht="32.8" hidden="false" customHeight="false" outlineLevel="0" collapsed="false">
      <c r="A130" s="13" t="s">
        <v>1309</v>
      </c>
      <c r="B130" s="13" t="s">
        <v>1310</v>
      </c>
      <c r="C130" s="13" t="s">
        <v>1144</v>
      </c>
      <c r="D130" s="14"/>
      <c r="E130" s="14"/>
      <c r="F130" s="14"/>
      <c r="G130" s="13" t="s">
        <v>1222</v>
      </c>
      <c r="H130" s="13" t="s">
        <v>451</v>
      </c>
      <c r="I130" s="13" t="s">
        <v>198</v>
      </c>
      <c r="J130" s="13"/>
      <c r="K130" s="13" t="s">
        <v>59</v>
      </c>
      <c r="L130" s="13" t="s">
        <v>60</v>
      </c>
      <c r="M130" s="13" t="s">
        <v>98</v>
      </c>
      <c r="N130" s="13" t="s">
        <v>1145</v>
      </c>
      <c r="O130" s="13" t="s">
        <v>232</v>
      </c>
      <c r="P130" s="13" t="s">
        <v>485</v>
      </c>
      <c r="Q130" s="13" t="s">
        <v>1224</v>
      </c>
      <c r="R130" s="13" t="s">
        <v>1148</v>
      </c>
      <c r="S130" s="13"/>
      <c r="T130" s="13" t="s">
        <v>1311</v>
      </c>
      <c r="U130" s="13" t="s">
        <v>1312</v>
      </c>
      <c r="V130" s="13" t="s">
        <v>489</v>
      </c>
      <c r="W130" s="15" t="s">
        <v>1313</v>
      </c>
    </row>
    <row r="131" customFormat="false" ht="22.35" hidden="false" customHeight="false" outlineLevel="0" collapsed="false">
      <c r="A131" s="13" t="s">
        <v>1314</v>
      </c>
      <c r="B131" s="13" t="s">
        <v>1315</v>
      </c>
      <c r="C131" s="13" t="s">
        <v>1144</v>
      </c>
      <c r="D131" s="14"/>
      <c r="E131" s="14"/>
      <c r="F131" s="14"/>
      <c r="G131" s="13" t="s">
        <v>240</v>
      </c>
      <c r="H131" s="13" t="s">
        <v>533</v>
      </c>
      <c r="I131" s="13" t="s">
        <v>198</v>
      </c>
      <c r="J131" s="13"/>
      <c r="K131" s="13" t="s">
        <v>59</v>
      </c>
      <c r="L131" s="13" t="s">
        <v>131</v>
      </c>
      <c r="M131" s="13" t="s">
        <v>86</v>
      </c>
      <c r="N131" s="13" t="s">
        <v>1145</v>
      </c>
      <c r="O131" s="13" t="s">
        <v>494</v>
      </c>
      <c r="P131" s="13" t="s">
        <v>1316</v>
      </c>
      <c r="Q131" s="13" t="s">
        <v>244</v>
      </c>
      <c r="R131" s="13" t="s">
        <v>1148</v>
      </c>
      <c r="S131" s="13"/>
      <c r="T131" s="13" t="s">
        <v>1317</v>
      </c>
      <c r="U131" s="13" t="s">
        <v>1318</v>
      </c>
      <c r="V131" s="13" t="s">
        <v>529</v>
      </c>
      <c r="W131" s="15" t="s">
        <v>1319</v>
      </c>
    </row>
    <row r="132" customFormat="false" ht="32.8" hidden="false" customHeight="false" outlineLevel="0" collapsed="false">
      <c r="A132" s="13" t="s">
        <v>1320</v>
      </c>
      <c r="B132" s="13" t="s">
        <v>1321</v>
      </c>
      <c r="C132" s="13" t="s">
        <v>1144</v>
      </c>
      <c r="D132" s="14"/>
      <c r="E132" s="14"/>
      <c r="F132" s="14"/>
      <c r="G132" s="13" t="s">
        <v>240</v>
      </c>
      <c r="H132" s="13" t="s">
        <v>451</v>
      </c>
      <c r="I132" s="13" t="s">
        <v>198</v>
      </c>
      <c r="J132" s="13"/>
      <c r="K132" s="13" t="s">
        <v>59</v>
      </c>
      <c r="L132" s="13" t="s">
        <v>395</v>
      </c>
      <c r="M132" s="13" t="s">
        <v>620</v>
      </c>
      <c r="N132" s="13" t="s">
        <v>1145</v>
      </c>
      <c r="O132" s="13" t="s">
        <v>1161</v>
      </c>
      <c r="P132" s="13" t="s">
        <v>144</v>
      </c>
      <c r="Q132" s="13" t="s">
        <v>244</v>
      </c>
      <c r="R132" s="13" t="s">
        <v>1148</v>
      </c>
      <c r="S132" s="13"/>
      <c r="T132" s="13" t="s">
        <v>1322</v>
      </c>
      <c r="U132" s="13" t="s">
        <v>1323</v>
      </c>
      <c r="V132" s="13" t="s">
        <v>1165</v>
      </c>
      <c r="W132" s="15" t="s">
        <v>1324</v>
      </c>
    </row>
    <row r="133" customFormat="false" ht="32.8" hidden="false" customHeight="false" outlineLevel="0" collapsed="false">
      <c r="A133" s="13" t="s">
        <v>1325</v>
      </c>
      <c r="B133" s="13" t="s">
        <v>1326</v>
      </c>
      <c r="C133" s="13" t="s">
        <v>1144</v>
      </c>
      <c r="D133" s="14"/>
      <c r="E133" s="14"/>
      <c r="F133" s="14"/>
      <c r="G133" s="13" t="s">
        <v>56</v>
      </c>
      <c r="H133" s="13" t="s">
        <v>332</v>
      </c>
      <c r="I133" s="13" t="s">
        <v>58</v>
      </c>
      <c r="J133" s="13"/>
      <c r="K133" s="13" t="s">
        <v>59</v>
      </c>
      <c r="L133" s="13" t="s">
        <v>395</v>
      </c>
      <c r="M133" s="13" t="s">
        <v>61</v>
      </c>
      <c r="N133" s="13" t="s">
        <v>1145</v>
      </c>
      <c r="O133" s="13" t="s">
        <v>1146</v>
      </c>
      <c r="P133" s="13" t="s">
        <v>335</v>
      </c>
      <c r="Q133" s="13" t="s">
        <v>336</v>
      </c>
      <c r="R133" s="13" t="s">
        <v>1148</v>
      </c>
      <c r="S133" s="13"/>
      <c r="T133" s="13" t="s">
        <v>1149</v>
      </c>
      <c r="U133" s="13" t="s">
        <v>1327</v>
      </c>
      <c r="V133" s="13" t="s">
        <v>1151</v>
      </c>
      <c r="W133" s="15" t="s">
        <v>1328</v>
      </c>
    </row>
    <row r="134" customFormat="false" ht="32.8" hidden="false" customHeight="false" outlineLevel="0" collapsed="false">
      <c r="A134" s="13" t="s">
        <v>1329</v>
      </c>
      <c r="B134" s="13" t="s">
        <v>1330</v>
      </c>
      <c r="C134" s="13" t="s">
        <v>1144</v>
      </c>
      <c r="D134" s="14"/>
      <c r="E134" s="14"/>
      <c r="F134" s="14"/>
      <c r="G134" s="13" t="s">
        <v>56</v>
      </c>
      <c r="H134" s="13" t="s">
        <v>374</v>
      </c>
      <c r="I134" s="13" t="s">
        <v>198</v>
      </c>
      <c r="J134" s="13"/>
      <c r="K134" s="13" t="s">
        <v>59</v>
      </c>
      <c r="L134" s="13" t="s">
        <v>395</v>
      </c>
      <c r="M134" s="13" t="s">
        <v>61</v>
      </c>
      <c r="N134" s="13" t="s">
        <v>1145</v>
      </c>
      <c r="O134" s="13" t="s">
        <v>376</v>
      </c>
      <c r="P134" s="13" t="s">
        <v>1331</v>
      </c>
      <c r="Q134" s="13" t="s">
        <v>336</v>
      </c>
      <c r="R134" s="13" t="s">
        <v>1148</v>
      </c>
      <c r="S134" s="13"/>
      <c r="T134" s="13" t="s">
        <v>1332</v>
      </c>
      <c r="U134" s="13" t="s">
        <v>1333</v>
      </c>
      <c r="V134" s="13" t="s">
        <v>1334</v>
      </c>
      <c r="W134" s="15" t="s">
        <v>1335</v>
      </c>
    </row>
    <row r="135" customFormat="false" ht="32.8" hidden="false" customHeight="false" outlineLevel="0" collapsed="false">
      <c r="A135" s="13" t="s">
        <v>1336</v>
      </c>
      <c r="B135" s="13" t="s">
        <v>1337</v>
      </c>
      <c r="C135" s="13" t="s">
        <v>1144</v>
      </c>
      <c r="D135" s="14"/>
      <c r="E135" s="14"/>
      <c r="F135" s="14"/>
      <c r="G135" s="13" t="s">
        <v>56</v>
      </c>
      <c r="H135" s="13" t="s">
        <v>407</v>
      </c>
      <c r="I135" s="13" t="s">
        <v>198</v>
      </c>
      <c r="J135" s="13"/>
      <c r="K135" s="13" t="s">
        <v>59</v>
      </c>
      <c r="L135" s="13" t="s">
        <v>395</v>
      </c>
      <c r="M135" s="13" t="s">
        <v>61</v>
      </c>
      <c r="N135" s="13" t="s">
        <v>1145</v>
      </c>
      <c r="O135" s="13" t="s">
        <v>1338</v>
      </c>
      <c r="P135" s="13" t="s">
        <v>1063</v>
      </c>
      <c r="Q135" s="13" t="s">
        <v>336</v>
      </c>
      <c r="R135" s="13" t="s">
        <v>1148</v>
      </c>
      <c r="S135" s="13"/>
      <c r="T135" s="13" t="s">
        <v>1339</v>
      </c>
      <c r="U135" s="13" t="s">
        <v>1340</v>
      </c>
      <c r="V135" s="13" t="s">
        <v>1341</v>
      </c>
      <c r="W135" s="15" t="s">
        <v>1342</v>
      </c>
    </row>
    <row r="136" customFormat="false" ht="32.8" hidden="false" customHeight="false" outlineLevel="0" collapsed="false">
      <c r="A136" s="13" t="s">
        <v>1343</v>
      </c>
      <c r="B136" s="13" t="s">
        <v>1344</v>
      </c>
      <c r="C136" s="13" t="s">
        <v>1144</v>
      </c>
      <c r="D136" s="14"/>
      <c r="E136" s="14"/>
      <c r="F136" s="14"/>
      <c r="G136" s="13" t="s">
        <v>56</v>
      </c>
      <c r="H136" s="13" t="s">
        <v>407</v>
      </c>
      <c r="I136" s="13" t="s">
        <v>58</v>
      </c>
      <c r="J136" s="13"/>
      <c r="K136" s="13" t="s">
        <v>59</v>
      </c>
      <c r="L136" s="13" t="s">
        <v>395</v>
      </c>
      <c r="M136" s="13" t="s">
        <v>61</v>
      </c>
      <c r="N136" s="13" t="s">
        <v>1145</v>
      </c>
      <c r="O136" s="13" t="s">
        <v>1345</v>
      </c>
      <c r="P136" s="13" t="s">
        <v>377</v>
      </c>
      <c r="Q136" s="13" t="s">
        <v>336</v>
      </c>
      <c r="R136" s="13" t="s">
        <v>1148</v>
      </c>
      <c r="S136" s="13"/>
      <c r="T136" s="13" t="s">
        <v>223</v>
      </c>
      <c r="U136" s="13" t="s">
        <v>1346</v>
      </c>
      <c r="V136" s="13" t="s">
        <v>1347</v>
      </c>
      <c r="W136" s="15" t="s">
        <v>1348</v>
      </c>
    </row>
    <row r="137" customFormat="false" ht="32.8" hidden="false" customHeight="false" outlineLevel="0" collapsed="false">
      <c r="A137" s="13" t="s">
        <v>1349</v>
      </c>
      <c r="B137" s="13" t="s">
        <v>1350</v>
      </c>
      <c r="C137" s="13" t="s">
        <v>1144</v>
      </c>
      <c r="D137" s="14"/>
      <c r="E137" s="14"/>
      <c r="F137" s="14"/>
      <c r="G137" s="13" t="s">
        <v>56</v>
      </c>
      <c r="H137" s="13" t="s">
        <v>302</v>
      </c>
      <c r="I137" s="13" t="s">
        <v>58</v>
      </c>
      <c r="J137" s="13"/>
      <c r="K137" s="13" t="s">
        <v>59</v>
      </c>
      <c r="L137" s="13" t="s">
        <v>395</v>
      </c>
      <c r="M137" s="13" t="s">
        <v>61</v>
      </c>
      <c r="N137" s="13" t="s">
        <v>1145</v>
      </c>
      <c r="O137" s="13" t="s">
        <v>1351</v>
      </c>
      <c r="P137" s="13" t="s">
        <v>1352</v>
      </c>
      <c r="Q137" s="13" t="s">
        <v>336</v>
      </c>
      <c r="R137" s="13" t="s">
        <v>1148</v>
      </c>
      <c r="S137" s="13"/>
      <c r="T137" s="13" t="s">
        <v>1353</v>
      </c>
      <c r="U137" s="13" t="s">
        <v>1354</v>
      </c>
      <c r="V137" s="13" t="s">
        <v>1355</v>
      </c>
      <c r="W137" s="15" t="s">
        <v>1356</v>
      </c>
    </row>
    <row r="138" customFormat="false" ht="32.8" hidden="false" customHeight="false" outlineLevel="0" collapsed="false">
      <c r="A138" s="13" t="s">
        <v>1357</v>
      </c>
      <c r="B138" s="13" t="s">
        <v>1358</v>
      </c>
      <c r="C138" s="13" t="s">
        <v>1144</v>
      </c>
      <c r="D138" s="14"/>
      <c r="E138" s="14"/>
      <c r="F138" s="14"/>
      <c r="G138" s="13" t="s">
        <v>56</v>
      </c>
      <c r="H138" s="13" t="s">
        <v>302</v>
      </c>
      <c r="I138" s="13" t="s">
        <v>58</v>
      </c>
      <c r="J138" s="13"/>
      <c r="K138" s="13" t="s">
        <v>59</v>
      </c>
      <c r="L138" s="13" t="s">
        <v>395</v>
      </c>
      <c r="M138" s="13" t="s">
        <v>61</v>
      </c>
      <c r="N138" s="13" t="s">
        <v>1145</v>
      </c>
      <c r="O138" s="13" t="s">
        <v>304</v>
      </c>
      <c r="P138" s="13"/>
      <c r="Q138" s="13" t="s">
        <v>336</v>
      </c>
      <c r="R138" s="13" t="s">
        <v>1148</v>
      </c>
      <c r="S138" s="13"/>
      <c r="T138" s="13" t="s">
        <v>1359</v>
      </c>
      <c r="U138" s="13" t="s">
        <v>1360</v>
      </c>
      <c r="V138" s="13" t="s">
        <v>1361</v>
      </c>
      <c r="W138" s="15" t="s">
        <v>1362</v>
      </c>
    </row>
    <row r="139" customFormat="false" ht="22.35" hidden="false" customHeight="false" outlineLevel="0" collapsed="false">
      <c r="A139" s="13" t="s">
        <v>1363</v>
      </c>
      <c r="B139" s="13" t="s">
        <v>1364</v>
      </c>
      <c r="C139" s="13" t="s">
        <v>1144</v>
      </c>
      <c r="D139" s="14"/>
      <c r="E139" s="14"/>
      <c r="F139" s="14"/>
      <c r="G139" s="13" t="s">
        <v>56</v>
      </c>
      <c r="H139" s="13" t="s">
        <v>154</v>
      </c>
      <c r="I139" s="13" t="s">
        <v>58</v>
      </c>
      <c r="J139" s="13"/>
      <c r="K139" s="13" t="s">
        <v>59</v>
      </c>
      <c r="L139" s="13" t="s">
        <v>60</v>
      </c>
      <c r="M139" s="13" t="s">
        <v>229</v>
      </c>
      <c r="N139" s="13" t="s">
        <v>1145</v>
      </c>
      <c r="O139" s="13" t="s">
        <v>122</v>
      </c>
      <c r="P139" s="13" t="s">
        <v>144</v>
      </c>
      <c r="Q139" s="13" t="s">
        <v>65</v>
      </c>
      <c r="R139" s="13" t="s">
        <v>1148</v>
      </c>
      <c r="S139" s="13"/>
      <c r="T139" s="13" t="s">
        <v>1365</v>
      </c>
      <c r="U139" s="13" t="s">
        <v>1366</v>
      </c>
      <c r="V139" s="13"/>
      <c r="W139" s="15" t="s">
        <v>1367</v>
      </c>
    </row>
    <row r="140" customFormat="false" ht="32.8" hidden="false" customHeight="false" outlineLevel="0" collapsed="false">
      <c r="A140" s="13" t="s">
        <v>1368</v>
      </c>
      <c r="B140" s="13" t="s">
        <v>1369</v>
      </c>
      <c r="C140" s="13" t="s">
        <v>1144</v>
      </c>
      <c r="D140" s="14"/>
      <c r="E140" s="14"/>
      <c r="F140" s="14"/>
      <c r="G140" s="13" t="s">
        <v>56</v>
      </c>
      <c r="H140" s="13" t="s">
        <v>142</v>
      </c>
      <c r="I140" s="13" t="s">
        <v>58</v>
      </c>
      <c r="J140" s="13"/>
      <c r="K140" s="13" t="s">
        <v>59</v>
      </c>
      <c r="L140" s="13" t="s">
        <v>60</v>
      </c>
      <c r="M140" s="13" t="s">
        <v>229</v>
      </c>
      <c r="N140" s="13" t="s">
        <v>1145</v>
      </c>
      <c r="O140" s="13" t="s">
        <v>122</v>
      </c>
      <c r="P140" s="13" t="s">
        <v>144</v>
      </c>
      <c r="Q140" s="13" t="s">
        <v>65</v>
      </c>
      <c r="R140" s="13" t="s">
        <v>1148</v>
      </c>
      <c r="S140" s="13"/>
      <c r="T140" s="13" t="s">
        <v>1370</v>
      </c>
      <c r="U140" s="13" t="s">
        <v>1371</v>
      </c>
      <c r="V140" s="13" t="s">
        <v>1372</v>
      </c>
      <c r="W140" s="15" t="s">
        <v>1373</v>
      </c>
    </row>
    <row r="141" customFormat="false" ht="22.35" hidden="false" customHeight="false" outlineLevel="0" collapsed="false">
      <c r="A141" s="13" t="s">
        <v>1374</v>
      </c>
      <c r="B141" s="13" t="s">
        <v>1375</v>
      </c>
      <c r="C141" s="13" t="s">
        <v>1144</v>
      </c>
      <c r="D141" s="14"/>
      <c r="E141" s="14"/>
      <c r="F141" s="14"/>
      <c r="G141" s="13" t="s">
        <v>56</v>
      </c>
      <c r="H141" s="13" t="s">
        <v>57</v>
      </c>
      <c r="I141" s="13" t="s">
        <v>58</v>
      </c>
      <c r="J141" s="13"/>
      <c r="K141" s="13" t="s">
        <v>59</v>
      </c>
      <c r="L141" s="13" t="s">
        <v>85</v>
      </c>
      <c r="M141" s="13" t="s">
        <v>98</v>
      </c>
      <c r="N141" s="13" t="s">
        <v>1145</v>
      </c>
      <c r="O141" s="13" t="s">
        <v>88</v>
      </c>
      <c r="P141" s="13" t="s">
        <v>89</v>
      </c>
      <c r="Q141" s="13" t="s">
        <v>65</v>
      </c>
      <c r="R141" s="13" t="s">
        <v>1148</v>
      </c>
      <c r="S141" s="13"/>
      <c r="T141" s="13" t="s">
        <v>68</v>
      </c>
      <c r="U141" s="13" t="s">
        <v>1376</v>
      </c>
      <c r="V141" s="13" t="s">
        <v>94</v>
      </c>
      <c r="W141" s="15" t="s">
        <v>1377</v>
      </c>
    </row>
    <row r="142" customFormat="false" ht="53.7" hidden="false" customHeight="false" outlineLevel="0" collapsed="false">
      <c r="A142" s="13" t="s">
        <v>1378</v>
      </c>
      <c r="B142" s="13" t="s">
        <v>1379</v>
      </c>
      <c r="C142" s="13" t="s">
        <v>1144</v>
      </c>
      <c r="D142" s="14"/>
      <c r="E142" s="14"/>
      <c r="F142" s="14"/>
      <c r="G142" s="13" t="s">
        <v>56</v>
      </c>
      <c r="H142" s="13" t="s">
        <v>57</v>
      </c>
      <c r="I142" s="13" t="s">
        <v>58</v>
      </c>
      <c r="J142" s="13"/>
      <c r="K142" s="13" t="s">
        <v>59</v>
      </c>
      <c r="L142" s="13" t="s">
        <v>60</v>
      </c>
      <c r="M142" s="13" t="s">
        <v>98</v>
      </c>
      <c r="N142" s="13" t="s">
        <v>1145</v>
      </c>
      <c r="O142" s="13" t="s">
        <v>63</v>
      </c>
      <c r="P142" s="13" t="s">
        <v>701</v>
      </c>
      <c r="Q142" s="13" t="s">
        <v>65</v>
      </c>
      <c r="R142" s="13" t="s">
        <v>1148</v>
      </c>
      <c r="S142" s="13"/>
      <c r="T142" s="13" t="s">
        <v>148</v>
      </c>
      <c r="U142" s="13" t="s">
        <v>1380</v>
      </c>
      <c r="V142" s="13" t="s">
        <v>1381</v>
      </c>
      <c r="W142" s="15" t="s">
        <v>1382</v>
      </c>
    </row>
    <row r="143" customFormat="false" ht="32.8" hidden="false" customHeight="false" outlineLevel="0" collapsed="false">
      <c r="A143" s="13" t="s">
        <v>1383</v>
      </c>
      <c r="B143" s="13" t="s">
        <v>1384</v>
      </c>
      <c r="C143" s="13" t="s">
        <v>1144</v>
      </c>
      <c r="D143" s="14"/>
      <c r="E143" s="14"/>
      <c r="F143" s="14"/>
      <c r="G143" s="13" t="s">
        <v>56</v>
      </c>
      <c r="H143" s="13" t="s">
        <v>57</v>
      </c>
      <c r="I143" s="13" t="s">
        <v>58</v>
      </c>
      <c r="J143" s="13"/>
      <c r="K143" s="13" t="s">
        <v>59</v>
      </c>
      <c r="L143" s="13" t="s">
        <v>60</v>
      </c>
      <c r="M143" s="13" t="s">
        <v>61</v>
      </c>
      <c r="N143" s="13" t="s">
        <v>1145</v>
      </c>
      <c r="O143" s="13" t="s">
        <v>188</v>
      </c>
      <c r="P143" s="13" t="s">
        <v>189</v>
      </c>
      <c r="Q143" s="13" t="s">
        <v>65</v>
      </c>
      <c r="R143" s="13" t="s">
        <v>1148</v>
      </c>
      <c r="S143" s="13"/>
      <c r="T143" s="13" t="s">
        <v>148</v>
      </c>
      <c r="U143" s="13" t="s">
        <v>1385</v>
      </c>
      <c r="V143" s="13" t="s">
        <v>1386</v>
      </c>
      <c r="W143" s="15" t="s">
        <v>1387</v>
      </c>
    </row>
    <row r="144" customFormat="false" ht="32.8" hidden="false" customHeight="false" outlineLevel="0" collapsed="false">
      <c r="A144" s="13" t="s">
        <v>1388</v>
      </c>
      <c r="B144" s="13" t="s">
        <v>1389</v>
      </c>
      <c r="C144" s="13" t="s">
        <v>1144</v>
      </c>
      <c r="D144" s="14"/>
      <c r="E144" s="14"/>
      <c r="F144" s="14"/>
      <c r="G144" s="13" t="s">
        <v>56</v>
      </c>
      <c r="H144" s="13" t="s">
        <v>154</v>
      </c>
      <c r="I144" s="13" t="s">
        <v>58</v>
      </c>
      <c r="J144" s="13"/>
      <c r="K144" s="13" t="s">
        <v>59</v>
      </c>
      <c r="L144" s="13" t="s">
        <v>395</v>
      </c>
      <c r="M144" s="13" t="s">
        <v>61</v>
      </c>
      <c r="N144" s="13" t="s">
        <v>1145</v>
      </c>
      <c r="O144" s="13" t="s">
        <v>144</v>
      </c>
      <c r="P144" s="13" t="s">
        <v>76</v>
      </c>
      <c r="Q144" s="13" t="s">
        <v>336</v>
      </c>
      <c r="R144" s="13" t="s">
        <v>1148</v>
      </c>
      <c r="S144" s="13"/>
      <c r="T144" s="13" t="s">
        <v>1390</v>
      </c>
      <c r="U144" s="13" t="s">
        <v>1391</v>
      </c>
      <c r="V144" s="13" t="s">
        <v>1392</v>
      </c>
      <c r="W144" s="15" t="s">
        <v>1393</v>
      </c>
    </row>
    <row r="145" customFormat="false" ht="32.8" hidden="false" customHeight="false" outlineLevel="0" collapsed="false">
      <c r="A145" s="13" t="s">
        <v>1394</v>
      </c>
      <c r="B145" s="13" t="s">
        <v>1395</v>
      </c>
      <c r="C145" s="13" t="s">
        <v>1144</v>
      </c>
      <c r="D145" s="14"/>
      <c r="E145" s="14"/>
      <c r="F145" s="14"/>
      <c r="G145" s="13" t="s">
        <v>56</v>
      </c>
      <c r="H145" s="13" t="s">
        <v>84</v>
      </c>
      <c r="I145" s="13" t="s">
        <v>58</v>
      </c>
      <c r="J145" s="13"/>
      <c r="K145" s="13" t="s">
        <v>59</v>
      </c>
      <c r="L145" s="13" t="s">
        <v>60</v>
      </c>
      <c r="M145" s="13" t="s">
        <v>229</v>
      </c>
      <c r="N145" s="13" t="s">
        <v>1145</v>
      </c>
      <c r="O145" s="13" t="s">
        <v>220</v>
      </c>
      <c r="P145" s="13"/>
      <c r="Q145" s="13" t="s">
        <v>65</v>
      </c>
      <c r="R145" s="13" t="s">
        <v>1148</v>
      </c>
      <c r="S145" s="13"/>
      <c r="T145" s="13" t="s">
        <v>148</v>
      </c>
      <c r="U145" s="13" t="s">
        <v>1396</v>
      </c>
      <c r="V145" s="13" t="s">
        <v>1397</v>
      </c>
      <c r="W145" s="15" t="s">
        <v>1398</v>
      </c>
    </row>
    <row r="146" customFormat="false" ht="32.8" hidden="false" customHeight="false" outlineLevel="0" collapsed="false">
      <c r="A146" s="13" t="s">
        <v>1399</v>
      </c>
      <c r="B146" s="13" t="s">
        <v>1400</v>
      </c>
      <c r="C146" s="13" t="s">
        <v>1144</v>
      </c>
      <c r="D146" s="14"/>
      <c r="E146" s="14"/>
      <c r="F146" s="14"/>
      <c r="G146" s="13" t="s">
        <v>805</v>
      </c>
      <c r="H146" s="13" t="s">
        <v>909</v>
      </c>
      <c r="I146" s="13" t="s">
        <v>806</v>
      </c>
      <c r="J146" s="13"/>
      <c r="K146" s="13" t="s">
        <v>59</v>
      </c>
      <c r="L146" s="13" t="s">
        <v>60</v>
      </c>
      <c r="M146" s="13" t="s">
        <v>849</v>
      </c>
      <c r="N146" s="13" t="s">
        <v>1145</v>
      </c>
      <c r="O146" s="13" t="s">
        <v>1401</v>
      </c>
      <c r="P146" s="13" t="s">
        <v>1254</v>
      </c>
      <c r="Q146" s="13" t="s">
        <v>810</v>
      </c>
      <c r="R146" s="13" t="s">
        <v>1148</v>
      </c>
      <c r="S146" s="13"/>
      <c r="T146" s="13" t="s">
        <v>1402</v>
      </c>
      <c r="U146" s="13" t="s">
        <v>1403</v>
      </c>
      <c r="V146" s="13" t="s">
        <v>1404</v>
      </c>
      <c r="W146" s="15" t="s">
        <v>1405</v>
      </c>
    </row>
    <row r="147" customFormat="false" ht="32.8" hidden="false" customHeight="false" outlineLevel="0" collapsed="false">
      <c r="A147" s="13" t="s">
        <v>1406</v>
      </c>
      <c r="B147" s="13" t="s">
        <v>1407</v>
      </c>
      <c r="C147" s="13" t="s">
        <v>1144</v>
      </c>
      <c r="D147" s="14"/>
      <c r="E147" s="14"/>
      <c r="F147" s="14"/>
      <c r="G147" s="13" t="s">
        <v>240</v>
      </c>
      <c r="H147" s="13" t="s">
        <v>451</v>
      </c>
      <c r="I147" s="13" t="s">
        <v>198</v>
      </c>
      <c r="J147" s="13"/>
      <c r="K147" s="13" t="s">
        <v>59</v>
      </c>
      <c r="L147" s="13" t="s">
        <v>60</v>
      </c>
      <c r="M147" s="13" t="s">
        <v>849</v>
      </c>
      <c r="N147" s="13" t="s">
        <v>1145</v>
      </c>
      <c r="O147" s="13" t="s">
        <v>453</v>
      </c>
      <c r="P147" s="13" t="s">
        <v>1161</v>
      </c>
      <c r="Q147" s="13" t="s">
        <v>244</v>
      </c>
      <c r="R147" s="13" t="s">
        <v>1148</v>
      </c>
      <c r="S147" s="13"/>
      <c r="T147" s="13" t="s">
        <v>1408</v>
      </c>
      <c r="U147" s="13" t="s">
        <v>1409</v>
      </c>
      <c r="V147" s="13" t="s">
        <v>1178</v>
      </c>
      <c r="W147" s="15" t="s">
        <v>1410</v>
      </c>
    </row>
  </sheetData>
  <autoFilter ref="A1:W147"/>
  <dataValidations count="2">
    <dataValidation allowBlank="true" errorStyle="stop" operator="between" showDropDown="false" showErrorMessage="false" showInputMessage="false" sqref="D2:D147" type="list">
      <formula1>"oui,non,à revoir"</formula1>
      <formula2>0</formula2>
    </dataValidation>
    <dataValidation allowBlank="true" errorStyle="stop" operator="between" showDropDown="false" showErrorMessage="false" showInputMessage="false" sqref="E2:E147" type="list">
      <formula1>"oui,non,à revoir"</formula1>
      <formula2>0</formula2>
    </dataValidation>
  </dataValidations>
  <hyperlinks>
    <hyperlink ref="W2" r:id="rId1" display="Comment faire des squats de la bonne façon au poids du corps ou avec charge (français)&#10;https://www.youtube.com/watch?v=EMfbjJWIllU"/>
    <hyperlink ref="W3" r:id="rId2" display="Comment faire un squat sumo (français)&#10;https://www.youtube.com/watch?v=xnvkQeZ_XaE"/>
    <hyperlink ref="W4" r:id="rId3" display="La chaise murale : endurance et cuisses sans matériel (tuto rapide) (français)&#10;https://www.youtube.com/watch?v=-NuqBMIgrcc"/>
    <hyperlink ref="W5" r:id="rId4" display="Comment faire les fentes : technique et erreurs à éviter (français)&#10;https://www.youtube.com/watch?v=HH9FQpjXw7A"/>
    <hyperlink ref="W6" r:id="rId5" display="Comment faire une fente arrière correctement ? (français)&#10;https://www.youtube.com/watch?v=Zz8DrsAUIZo"/>
    <hyperlink ref="W7" r:id="rId6" display="Musculation des cuisses : fentes latérales (français)&#10;https://www.youtube.com/watch?v=3EvkUQHvFkI"/>
    <hyperlink ref="W8" r:id="rId7" display="Fentes bulgares sur chaise : exécution, technique, conseils et progression (français)&#10;https://www.youtube.com/watch?v=M1xhRlf8poM"/>
    <hyperlink ref="W9" r:id="rId8" display="Pont fessier à une jambe : single leg glute bridge (français)&#10;https://www.youtube.com/watch?v=43qFZebHGj8"/>
    <hyperlink ref="W10" r:id="rId9" display="Tuto : muscler les fessiers avec le hip thrust (Decathlon) (français)&#10;https://www.youtube.com/watch?v=34xR5kn02xY"/>
    <hyperlink ref="W11" r:id="rId10" display="How To: Donkey Kicks for Glute Strength (anglais)&#10;https://www.youtube.com/watch?v=vElEKAdulIE"/>
    <hyperlink ref="W12" r:id="rId11" display="Fire hydrants : exécution, technique, conseils et progression (français)&#10;https://www.youtube.com/watch?v=6yoip-ClM34"/>
    <hyperlink ref="W13" r:id="rId12" display="How to Do a Good Morning Exercise (Perfect Hip Hinge Form for Beginners) (anglais)&#10;https://www.youtube.com/watch?v=9ylRcYLSz40"/>
    <hyperlink ref="W14" r:id="rId13" display="Deadlift roumain avec haltères : exécution, technique, conseils et progression (français)&#10;https://www.youtube.com/watch?v=hyBx3QViCw8"/>
    <hyperlink ref="W15" r:id="rId14" display="Goblet squat : exécution, technique, conseils et progression (français)&#10;https://www.youtube.com/watch?v=QNPVhVsJS2A"/>
    <hyperlink ref="W16" r:id="rId15" display="Mollets : mollets debout à une jambe (français)&#10;https://www.youtube.com/watch?v=jGUplusFlEY"/>
    <hyperlink ref="W17" r:id="rId16" display="Exercice intérieur des cuisses (adducteurs) : levé de jambe allongé (français)&#10;https://www.youtube.com/watch?v=3EiBfcTLZDE"/>
    <hyperlink ref="W18" r:id="rId17" display="How to Do a Glute Bridge March (anglais)&#10;https://www.youtube.com/watch?v=8-invS7-Ugo"/>
    <hyperlink ref="W19" r:id="rId18" display="Pistol squat, squat à 1 jambe (alternatives et progression) (français)&#10;https://www.youtube.com/watch?v=STa-MCOn3xM"/>
    <hyperlink ref="W20" r:id="rId19" display="Pompes contre le mur pour débutants (français)&#10;https://www.youtube.com/watch?v=emhF1efZ-38"/>
    <hyperlink ref="W21" r:id="rId20" display="Pompes inclinées (français)&#10;https://www.youtube.com/watch?v=pH9hQDirfog"/>
    <hyperlink ref="W22" r:id="rId21" display="Pompe sur les genoux : démonstration, explication et conseils (français)&#10;https://www.youtube.com/watch?v=SWUw2epT8P4"/>
    <hyperlink ref="W23" r:id="rId22" display="Comment bien faire les pompes (évitez les erreurs courantes et progressez) (français)&#10;https://www.youtube.com/watch?v=V9TUK5IdRrY"/>
    <hyperlink ref="W24" r:id="rId23" display="Les pompes prise serrée pour les triceps (pour qui, comment, variantes) (français)&#10;https://www.youtube.com/watch?v=FvnPL4cYUQk"/>
    <hyperlink ref="W25" r:id="rId24" display="Pike push up (niveau 1) (français)&#10;https://www.youtube.com/watch?v=NrkGYnsgbOA"/>
    <hyperlink ref="W26" r:id="rId25" display="Dips sur chaise : exécution, technique, conseils et progression (français)&#10;https://www.youtube.com/watch?v=hIB3YWZk834"/>
    <hyperlink ref="W27" r:id="rId26" display="Musculation du dos : le rowing haltère à 1 bras (français)&#10;https://www.youtube.com/watch?v=VLzDhlGdpS0"/>
    <hyperlink ref="W28" r:id="rId27" display="Technique du développé épaules aux haltères (assis ou debout) (français)&#10;https://www.youtube.com/watch?v=CE9KiCPFw0E"/>
    <hyperlink ref="W29" r:id="rId28" display="Comment faire un curl marteau : technique correcte pour les biceps (français)&#10;https://www.youtube.com/watch?v=CsZSbMuqDYw"/>
    <hyperlink ref="W30" r:id="rId29" display="Extension triceps avec haltère : démonstration, muscles, variantes, conseils et progression (français)&#10;https://www.youtube.com/watch?v=Reitru3_Srk"/>
    <hyperlink ref="W31" r:id="rId30" display="Oiseau buste penché avec haltères (français)&#10;https://www.youtube.com/watch?v=mzbY2Vd0Mts"/>
    <hyperlink ref="W32" r:id="rId31" display="Développé couché au sol : un développé couché pas comme les autres (français)&#10;https://www.youtube.com/watch?v=WVfLGkuhHHU"/>
    <hyperlink ref="W33" r:id="rId32" display="Tirage vertical à l'élastique (français)&#10;https://www.youtube.com/watch?v=8rSNwrdPgN4"/>
    <hyperlink ref="W34" r:id="rId33" display="Développé militaire élastique : exercice debout pour les épaules (français)&#10;https://www.youtube.com/watch?v=Y28EDAb2ASY"/>
    <hyperlink ref="W35" r:id="rId34" display="Comment se muscler les lombaires et le bas du dos : superman (français)&#10;https://www.youtube.com/watch?v=O-DOcsnwAQY"/>
    <hyperlink ref="W36" r:id="rId35" display="Posture : l'exercice des lettres I, Y, T, W, A (français)&#10;https://www.youtube.com/watch?v=G0nPXt_TgRg"/>
    <hyperlink ref="W37" r:id="rId36" display="Rowing inversé sous une table : exercice pour renforcer le dos (français)&#10;https://www.youtube.com/watch?v=lcsEJQAbdiw"/>
    <hyperlink ref="W38" r:id="rId37" display="Comment bien faire les crunchs pour les abdos (français)&#10;https://www.youtube.com/watch?v=LEb7Juw9tMo"/>
    <hyperlink ref="W39" r:id="rId38" display="Musculation des abdominaux : crunch inversé (français)&#10;https://www.youtube.com/watch?v=0bq05pA3bkA"/>
    <hyperlink ref="W40" r:id="rId39" display="Crunch cycliste : un exercice pour la taille (français)&#10;https://www.youtube.com/watch?v=rsX2MJPzXrE"/>
    <hyperlink ref="W41" r:id="rId40" display="Exercice abdos : relevé de jambes allongé (français)&#10;https://www.youtube.com/watch?v=RNgWIsjj5U8"/>
    <hyperlink ref="W42" r:id="rId41" display="L'exercice des ciseaux pour renforcer ses abdominaux (français)&#10;https://www.youtube.com/watch?v=a8Y_-YCnaUg"/>
    <hyperlink ref="W43" r:id="rId42" display="Exercice fitness : touché de cheville (français)&#10;https://www.youtube.com/watch?v=yocM348hYfE"/>
    <hyperlink ref="W44" r:id="rId43" display="Russian twist : exercice de gainage des obliques (français)&#10;https://www.youtube.com/watch?v=RdUUAlWz1Qk"/>
    <hyperlink ref="W45" r:id="rId44" display="Hollow body hold : muscles, variantes, conseils et progression (français)&#10;https://www.youtube.com/watch?v=G5i11cyxSL4"/>
    <hyperlink ref="W46" r:id="rId45" display="Planche tape épaule (et progression) (français)&#10;https://www.youtube.com/watch?v=S1FlmYy31jQ"/>
    <hyperlink ref="W47" r:id="rId46" display="Exercice fitness : gainage up and down (français)&#10;https://www.youtube.com/watch?v=9rQvKBRBHhg"/>
    <hyperlink ref="W48" r:id="rId47" display="Planche inversée : 3 fautes à éviter (français)&#10;https://www.youtube.com/watch?v=d3B2ed1qI0o"/>
    <hyperlink ref="W49" r:id="rId48" display="How to Do a Bear Hold (anglais)&#10;https://www.youtube.com/watch?v=GkTNfd8zFPs"/>
    <hyperlink ref="W50" r:id="rId49" display="Planche latérale avec rotation (Guide Musculation) (français)&#10;https://www.youtube.com/watch?v=OXte6nIofiM"/>
    <hyperlink ref="W51" r:id="rId50" display="Comment faire les V-ups (français)&#10;https://www.youtube.com/watch?v=D51oisjL-aE"/>
    <hyperlink ref="W52" r:id="rId51" display="La chenille avec pompe (inchworm with push-up) (français)&#10;https://www.youtube.com/watch?v=zeAm-lP_Ha0"/>
    <hyperlink ref="W53" r:id="rId52" display="Marche de l'ours : gainage dynamique et mobilité sans matériel (français)&#10;https://www.youtube.com/watch?v=D_4Vcp2d9_I"/>
    <hyperlink ref="W54" r:id="rId53" display="March in Place (HASfit, exercices sans impact) (anglais)&#10;https://www.youtube.com/watch?v=QilgMPG7OaA"/>
    <hyperlink ref="W55" r:id="rId54" display="Jumping jack sans saut (français)&#10;https://www.youtube.com/watch?v=doj3IIyhwvs"/>
    <hyperlink ref="W56" r:id="rId55" display="Apprendre le shadow boxing en 3 minutes (français)&#10;https://www.youtube.com/watch?v=bQeSUBjOlN8"/>
    <hyperlink ref="W57" r:id="rId56" display="Burpees sans saut (français)&#10;https://www.youtube.com/watch?v=gadl7yD6Img"/>
    <hyperlink ref="W58" r:id="rId57" display="Mountain climbers lents et contrôlés (français)&#10;https://www.youtube.com/watch?v=rtEJyD8fweo"/>
    <hyperlink ref="W59" r:id="rId58" display="How To Do A Curtsy Lunge (anglais)&#10;https://www.youtube.com/watch?v=2EyH9MN7hYE"/>
    <hyperlink ref="W60" r:id="rId59" display="Squat with Front Kick (One Minute Exercises) (anglais)&#10;https://www.youtube.com/watch?v=FGjCiK4alq4"/>
    <hyperlink ref="W61" r:id="rId60" display="Fentes arrières alternées (français)&#10;https://www.youtube.com/watch?v=9i4YcNHiKbU"/>
    <hyperlink ref="W62" r:id="rId61" display="Tuto : les jumping jacks, exercice cardio (Decathlon) (français)&#10;https://www.youtube.com/watch?v=kefNHIKaNkU"/>
    <hyperlink ref="W63" r:id="rId62" display="Comment faire des montées de genoux (français)&#10;https://www.youtube.com/watch?v=RsVbI852C-o"/>
    <hyperlink ref="W64" r:id="rId63" display="Talons-fesses (butt kicks) : exercice cardio simple (français)&#10;https://www.youtube.com/watch?v=XFknECYblwQ"/>
    <hyperlink ref="W65" r:id="rId64" display="Squat sauté : muscles, variantes, conseils et progression (français)&#10;https://www.youtube.com/watch?v=Swf_f7SHdUI"/>
    <hyperlink ref="W66" r:id="rId65" display="Fentes sautées : muscles, variantes, conseils et progression (français)&#10;https://www.youtube.com/watch?v=4_Sjotzszx4"/>
    <hyperlink ref="W67" r:id="rId66" display="Speed Skaters Exercise (Skater Hops): Proper Form (anglais)&#10;https://www.youtube.com/watch?v=9_jLW6VkU8A"/>
    <hyperlink ref="W68" r:id="rId67" display="Comment faire des burpees (Les Fitness Basics) (français)&#10;https://www.youtube.com/watch?v=4YPWd8z090A"/>
    <hyperlink ref="W69" r:id="rId68" display="Mountain climber : exécution, technique, conseils et progression (français)&#10;https://www.youtube.com/watch?v=gXv9T1flQhU"/>
    <hyperlink ref="W70" r:id="rId69" display="Étape 1 : corde à sauter sans corde (français)&#10;https://www.youtube.com/watch?v=2Qg1Mt-LVSI"/>
    <hyperlink ref="W71" r:id="rId70" display="Comment faire les star jumps (français)&#10;https://www.youtube.com/watch?v=NkbiKuADX_M"/>
    <hyperlink ref="W72" r:id="rId71" display="Cercles de bras (français)&#10;https://www.youtube.com/watch?v=goaXpTMg3QI"/>
    <hyperlink ref="W73" r:id="rId72" display="Cercles des hanches (échauffement) (français)&#10;https://www.youtube.com/watch?v=VcpoDKlvEkk"/>
    <hyperlink ref="W74" r:id="rId73" display="Balancements de jambes avant-arrière (échauffement) (français)&#10;https://www.youtube.com/watch?v=_JWHy86izcw"/>
    <hyperlink ref="W75" r:id="rId74" display="Rotations du buste (français)&#10;https://www.youtube.com/watch?v=I4NlqG57l4Q"/>
    <hyperlink ref="W76" r:id="rId75" display="World's Greatest Stretch (le meilleur étirement du monde) (français)&#10;https://www.youtube.com/watch?v=_vfHhERqpbI"/>
    <hyperlink ref="W77" r:id="rId76" display="La posture de la montagne, Tadasana (français)&#10;https://www.youtube.com/watch?v=ve_cJNhiQVA"/>
    <hyperlink ref="W78" r:id="rId77" display="Salutation au soleil pour débutants : 3 progressions (français)&#10;https://www.youtube.com/watch?v=sFprTU_r38o"/>
    <hyperlink ref="W79" r:id="rId78" display="Posture du chien tête en bas (Adho Mukha Svanasana) pour débuter (français)&#10;https://www.youtube.com/watch?v=Ei4a7kDbdlg"/>
    <hyperlink ref="W80" r:id="rId79" display="Apprendre la posture du cobra, Bhujangasana (français)&#10;https://www.youtube.com/watch?v=RGYgiC9319o"/>
    <hyperlink ref="W81" r:id="rId80" display="La posture du sphinx guidée, débutants ou seniors (français)&#10;https://www.youtube.com/watch?v=GjRvu1tYP7E"/>
    <hyperlink ref="W82" r:id="rId81" display="Posture du guerrier 1 (Virabhadrasana) pour les débutants (français)&#10;https://www.youtube.com/watch?v=FSv689Hk49o"/>
    <hyperlink ref="W83" r:id="rId82" display="Tuto yoga : le guerrier 2 à la loupe (français)&#10;https://www.youtube.com/watch?v=rtfWanShIsc"/>
    <hyperlink ref="W84" r:id="rId83" display="Yoga : posture du triangle, Utthita Trikonasana (français)&#10;https://www.youtube.com/watch?v=zc1zqcH52yY"/>
    <hyperlink ref="W85" r:id="rId84" display="Yoga : posture de l'arbre, Vrikshasana (français)&#10;https://www.youtube.com/watch?v=t8KXifZclxM"/>
    <hyperlink ref="W86" r:id="rId85" display="Comment faire la posture de la chaise, Utkatasana (français)&#10;https://www.youtube.com/watch?v=h3anl2PgCHA"/>
    <hyperlink ref="W87" r:id="rId86" display="Yoga : posture du croissant de lune (Anjaneyasana) (français)&#10;https://www.youtube.com/watch?v=A5wGqQ21l2o"/>
    <hyperlink ref="W88" r:id="rId87" display="Posture du pigeon (Yoga by Decathlon) (français)&#10;https://www.youtube.com/watch?v=YqNO0ImMtEY"/>
    <hyperlink ref="W89" r:id="rId88" display="Posture de yoga du papillon, Baddha Konasana (français)&#10;https://www.youtube.com/watch?v=53WnXeu_Yuw"/>
    <hyperlink ref="W90" r:id="rId89" display="Pince assise, Paschimottanasana (français)&#10;https://www.youtube.com/watch?v=O5lSF1AgAqs"/>
    <hyperlink ref="W91" r:id="rId90" display="Posture de la torsion allongée au sol (français)&#10;https://www.youtube.com/watch?v=cvCPeN6XjHs"/>
    <hyperlink ref="W92" r:id="rId91" display="Bébé heureux : 1 minute de yoga par jour (français)&#10;https://www.youtube.com/watch?v=1FqB-qyeKAE"/>
    <hyperlink ref="W93" r:id="rId92" display="Viparita Karani : les jambes le long du mur (français)&#10;https://www.youtube.com/watch?v=aXd7u9MoI7E"/>
    <hyperlink ref="W94" r:id="rId93" display="Étirement des quadriceps en position debout (Masseo) (français)&#10;https://www.youtube.com/watch?v=4c5oLJxm2Nk"/>
    <hyperlink ref="W95" r:id="rId94" display="Étirement latéral debout (français)&#10;https://www.youtube.com/watch?v=ML6zsqBPmPg"/>
    <hyperlink ref="W96" r:id="rId95" display="Étirement épaule : technique bras croisé devant la poitrine (français)&#10;https://www.youtube.com/watch?v=mlUh1XQikKM"/>
    <hyperlink ref="W97" r:id="rId96" display="Étirement triceps : technique bras derrière la tête (français)&#10;https://www.youtube.com/watch?v=V8nA6t_r8JM"/>
    <hyperlink ref="W98" r:id="rId97" display="1 minute de yoga par jour : torsion assise (français)&#10;https://www.youtube.com/watch?v=gsp1AZcEn54"/>
    <hyperlink ref="W99" r:id="rId98" display="Un étirement pour détendre les lombaires (français)&#10;https://www.youtube.com/watch?v=KCiEleLODc8"/>
    <hyperlink ref="W100" r:id="rId99" display="Cohérence cardiaque 5:5, 5 minutes de respiration guidée (français)&#10;https://www.youtube.com/watch?v=vs_8iqpGoEM"/>
    <hyperlink ref="W101" r:id="rId100" display="Respiration carrée (exercice de 5 min) (français)&#10;https://www.youtube.com/watch?v=O6NKXExzkww"/>
    <hyperlink ref="W102" r:id="rId101" display="Méditation guidée courte spéciale débutant, 5 min de pleine conscience (français)&#10;https://www.youtube.com/watch?v=VBSelbkOELA"/>
    <hyperlink ref="W103" r:id="rId102" display="Méditation guidée : balayage corporel 10 min (français)&#10;https://www.youtube.com/watch?v=1WAXGcKi9i8"/>
    <hyperlink ref="W104" r:id="rId103" display="Relaxation musculaire progressive, guidée par Isabelle Soucy, Ph. D. (français)&#10;https://www.youtube.com/watch?v=2KSp2uQsEH8"/>
    <hyperlink ref="W105" r:id="rId104" display="Rowing assis avec élastiques (français)&#10;https://www.youtube.com/watch?v=mYdXe92a_EM"/>
    <hyperlink ref="W106" r:id="rId105" display="Exercice omoplates : band pull apart (français)&#10;https://www.youtube.com/watch?v=MSJzslGuutU"/>
    <hyperlink ref="W107" r:id="rId106" display="Comment réaliser le Pallof press (français)&#10;https://www.youtube.com/watch?v=I4SKLCM9lyo"/>
    <hyperlink ref="W108" r:id="rId107" display="Gainage planche et dead bug : la bonne technique (français)&#10;https://www.youtube.com/watch?v=bG17b4f_4bg"/>
    <hyperlink ref="W109" r:id="rId108" display="Gainage bird dog : 1 min pour un dos solide (français)&#10;https://www.youtube.com/watch?v=l2DXJoi0WYE"/>
    <hyperlink ref="W110" r:id="rId109" display="La planche sur les genoux : commence ici pour un gainage parfait (français)&#10;https://www.youtube.com/watch?v=ARCrsCnSB-k"/>
    <hyperlink ref="W111" r:id="rId110" display="Squat sur chaise (français)&#10;https://www.youtube.com/watch?v=bAiHLkX0iWo"/>
    <hyperlink ref="W112" r:id="rId111" display="Comment faire un pont fessier (français)&#10;https://www.youtube.com/watch?v=9Wma4mC8wpw"/>
    <hyperlink ref="W113" r:id="rId112" display="Banded Lateral Walk (anglais)&#10;https://www.youtube.com/watch?v=mZ23K1ulW2A"/>
    <hyperlink ref="W114" r:id="rId113" display="Extension de la hanche, genou plié (français)&#10;https://www.youtube.com/watch?v=xwTFt_yWEkI"/>
    <hyperlink ref="W115" r:id="rId114" display="Comment bien faire son gainage latéral ? Tutoriel et progression par kiné (français)&#10;https://www.youtube.com/watch?v=_H9lCamSHR0"/>
    <hyperlink ref="W116" r:id="rId115" display="Comment maîtriser la respiration latérale costale en Pilates ? (français)&#10;https://www.youtube.com/watch?v=3Bb4ytM0ARA"/>
    <hyperlink ref="W117" r:id="rId116" display="Pilates : rétroversion du bassin allongé (français)&#10;https://www.youtube.com/watch?v=IEN7fe43K4o"/>
    <hyperlink ref="W118" r:id="rId117" display="Chat-vache : soulage ton dos en 3 min (yoga débutant) (français)&#10;https://www.youtube.com/watch?v=Sf0h4chQzis"/>
    <hyperlink ref="W119" r:id="rId118" display="Exercice épaule : rapprocher les omoplates (français)&#10;https://www.youtube.com/watch?v=pdI4HS138tc"/>
    <hyperlink ref="W120" r:id="rId119" display="Wall slide exercice (Nxt Generation Physio) (français)&#10;https://www.youtube.com/watch?v=K8TMa3-E2Is"/>
    <hyperlink ref="W121" r:id="rId120" display="Thoracic Extension Over a Chair (anglais)&#10;https://www.youtube.com/watch?v=4ZqOMX-18O0"/>
    <hyperlink ref="W122" r:id="rId121" display="Chin Tucks (Cervical Retractions) (anglais)&#10;https://www.youtube.com/watch?v=tQYo15dpKdM"/>
    <hyperlink ref="W123" r:id="rId122" display="Étirement du grand et du petit pectoral (Masseo) (français)&#10;https://www.youtube.com/watch?v=6pIDnFHUK8E"/>
    <hyperlink ref="W124" r:id="rId123" display="Étirement du trapèze supérieur (Masseo) (français)&#10;https://www.youtube.com/watch?v=vfoWMKhx4v4"/>
    <hyperlink ref="W125" r:id="rId124" display="Yoga : posture de l'enfant, Balasana (français)&#10;https://www.youtube.com/watch?v=8kGL8IghPbo"/>
    <hyperlink ref="W126" r:id="rId125" display="Étirement psoas : technique en fente genou au sol (français)&#10;https://www.youtube.com/watch?v=5M6zv6hGskQ"/>
    <hyperlink ref="W127" r:id="rId126" display="Étirement des ischio-jambiers en position allongée (français)&#10;https://www.youtube.com/watch?v=WTZQYMpSNJk"/>
    <hyperlink ref="W128" r:id="rId127" display="Étirement du muscle pyramidal en position allongée (français)&#10;https://www.youtube.com/watch?v=_tvE9m9kkxM"/>
    <hyperlink ref="W129" r:id="rId128" display="Étirement mollets : technique debout contre le mur (français)&#10;https://www.youtube.com/watch?v=zzNI5vxssTI"/>
    <hyperlink ref="W130" r:id="rId129" display="Core Exercise: Heel Slide (anglais)&#10;https://www.youtube.com/watch?v=6-anByqnKp8"/>
    <hyperlink ref="W131" r:id="rId130" display="Gainage à l'aide d'une chaise (français)&#10;https://www.youtube.com/watch?v=jLcQfXPMHXY"/>
    <hyperlink ref="W132" r:id="rId131" display="How to do a Half Kneeling Pallof Press (anglais)&#10;https://www.youtube.com/watch?v=LpBNsIv2olo"/>
    <hyperlink ref="W133" r:id="rId132" display="Exercice dos à la bande élastique : tirage horizontal debout (français)&#10;https://www.youtube.com/watch?v=OcYrtl3ZAMs"/>
    <hyperlink ref="W134" r:id="rId133" display="Resistance band face pull : exercice à l'élastique pour l'arrière des épaules (français)&#10;https://www.youtube.com/watch?v=i-hVYySziaU"/>
    <hyperlink ref="W135" r:id="rId134" display="Rotation externe d'épaule (coude au corps) (français)&#10;https://www.youtube.com/watch?v=zUP5qcl9AeA"/>
    <hyperlink ref="W136" r:id="rId135" display="Élévations latérales à l'élastique pour muscler les épaules (français)&#10;https://www.youtube.com/watch?v=zz9D2QulpBs"/>
    <hyperlink ref="W137" r:id="rId136" display="Curl biceps élastique (français)&#10;https://www.youtube.com/watch?v=L2QhFSJ-Jb4"/>
    <hyperlink ref="W138" r:id="rId137" display="Triceps extension élastique (français)&#10;https://www.youtube.com/watch?v=IH3w7O5UWKU"/>
    <hyperlink ref="W139" r:id="rId138" display="Bien exécuter l'exercice du clamshell (français)&#10;https://www.youtube.com/watch?v=0e4oPtPbqvQ"/>
    <hyperlink ref="W140" r:id="rId139" display="Musculation des fessiers : abduction de la hanche au sol (français)&#10;https://www.youtube.com/watch?v=7IytTOalmio"/>
    <hyperlink ref="W141" r:id="rId140" display="Squat au mur (français)&#10;https://www.youtube.com/watch?v=5R4D6zaokL0"/>
    <hyperlink ref="W142" r:id="rId141" display="Comment faire un step up (français)&#10;https://www.youtube.com/watch?v=6yF-VaStT_E"/>
    <hyperlink ref="W143" r:id="rId142" display="Renforcement ischio-jambiers : pont fessier (KOSS) (français)&#10;https://www.youtube.com/watch?v=-GUGUNyJv1U"/>
    <hyperlink ref="W144" r:id="rId143" display="Extensions de hanches debout avec élastique (français)&#10;https://www.youtube.com/watch?v=5-3LkHIlWzM"/>
    <hyperlink ref="W145" r:id="rId144" display="Montées sur pointes de pied (français)&#10;https://www.youtube.com/watch?v=YXbHh4rlQGE"/>
    <hyperlink ref="W146" r:id="rId145" display="Open Books (Sidelying Thoracic Rotation) (anglais)&#10;https://www.youtube.com/watch?v=rDviWORCWEw"/>
    <hyperlink ref="W147" r:id="rId146" display="How To Correctly Perform The McGill Modified Curl Up (anglais)&#10;https://www.youtube.com/watch?v=_tz9WGVH25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8"/>
    <col collapsed="false" customWidth="true" hidden="false" outlineLevel="0" max="4" min="4" style="0" width="10"/>
    <col collapsed="false" customWidth="true" hidden="false" outlineLevel="0" max="5" min="5" style="0" width="30"/>
    <col collapsed="false" customWidth="true" hidden="false" outlineLevel="0" max="6" min="6" style="0" width="7"/>
    <col collapsed="false" customWidth="true" hidden="false" outlineLevel="0" max="7" min="7" style="0" width="20"/>
    <col collapsed="false" customWidth="true" hidden="false" outlineLevel="0" max="8" min="8" style="0" width="9"/>
    <col collapsed="false" customWidth="true" hidden="false" outlineLevel="0" max="9" min="9" style="0" width="12"/>
    <col collapsed="false" customWidth="true" hidden="false" outlineLevel="0" max="10" min="10" style="0" width="7"/>
    <col collapsed="false" customWidth="true" hidden="false" outlineLevel="0" max="11" min="11" style="0" width="8"/>
    <col collapsed="false" customWidth="true" hidden="false" outlineLevel="0" max="12" min="12" style="0" width="7"/>
    <col collapsed="false" customWidth="true" hidden="false" outlineLevel="0" max="13" min="13" style="0" width="10"/>
    <col collapsed="false" customWidth="true" hidden="false" outlineLevel="0" max="14" min="14" style="0" width="45"/>
    <col collapsed="false" customWidth="true" hidden="false" outlineLevel="0" max="15" min="15" style="0" width="60"/>
  </cols>
  <sheetData>
    <row r="1" customFormat="false" ht="31.5" hidden="false" customHeight="true" outlineLevel="0" collapsed="false">
      <c r="A1" s="11" t="s">
        <v>33</v>
      </c>
      <c r="B1" s="11" t="s">
        <v>1411</v>
      </c>
      <c r="C1" s="11" t="s">
        <v>1412</v>
      </c>
      <c r="D1" s="12" t="s">
        <v>3</v>
      </c>
      <c r="E1" s="12" t="s">
        <v>9</v>
      </c>
      <c r="F1" s="11" t="s">
        <v>1413</v>
      </c>
      <c r="G1" s="11" t="s">
        <v>37</v>
      </c>
      <c r="H1" s="11" t="s">
        <v>1414</v>
      </c>
      <c r="I1" s="11" t="s">
        <v>1415</v>
      </c>
      <c r="J1" s="11" t="s">
        <v>1416</v>
      </c>
      <c r="K1" s="11" t="s">
        <v>1417</v>
      </c>
      <c r="L1" s="11" t="s">
        <v>40</v>
      </c>
      <c r="M1" s="11" t="s">
        <v>1418</v>
      </c>
      <c r="N1" s="11" t="s">
        <v>1419</v>
      </c>
      <c r="O1" s="11" t="s">
        <v>1420</v>
      </c>
    </row>
    <row r="2" customFormat="false" ht="53.7" hidden="false" customHeight="false" outlineLevel="0" collapsed="false">
      <c r="A2" s="13" t="s">
        <v>1421</v>
      </c>
      <c r="B2" s="13" t="s">
        <v>1422</v>
      </c>
      <c r="C2" s="13" t="s">
        <v>1423</v>
      </c>
      <c r="D2" s="14"/>
      <c r="E2" s="14"/>
      <c r="F2" s="13" t="n">
        <v>1</v>
      </c>
      <c r="G2" s="13" t="s">
        <v>595</v>
      </c>
      <c r="H2" s="13" t="n">
        <v>5</v>
      </c>
      <c r="I2" s="13" t="n">
        <f aca="false">ROUND(8.7*'Mode d''emploi'!$B$20/60,0)</f>
        <v>9</v>
      </c>
      <c r="J2" s="13" t="n">
        <v>1</v>
      </c>
      <c r="K2" s="13" t="n">
        <v>10</v>
      </c>
      <c r="L2" s="13" t="s">
        <v>59</v>
      </c>
      <c r="M2" s="13" t="s">
        <v>60</v>
      </c>
      <c r="N2" s="13" t="s">
        <v>1424</v>
      </c>
      <c r="O2" s="13" t="s">
        <v>1425</v>
      </c>
    </row>
    <row r="3" customFormat="false" ht="64.15" hidden="false" customHeight="false" outlineLevel="0" collapsed="false">
      <c r="A3" s="13" t="s">
        <v>1426</v>
      </c>
      <c r="B3" s="13" t="s">
        <v>1427</v>
      </c>
      <c r="C3" s="13" t="s">
        <v>1423</v>
      </c>
      <c r="D3" s="14"/>
      <c r="E3" s="14"/>
      <c r="F3" s="13" t="n">
        <v>1</v>
      </c>
      <c r="G3" s="13" t="s">
        <v>595</v>
      </c>
      <c r="H3" s="13" t="n">
        <v>6</v>
      </c>
      <c r="I3" s="13" t="n">
        <f aca="false">ROUND(11.8*'Mode d''emploi'!$B$20/60,0)</f>
        <v>12</v>
      </c>
      <c r="J3" s="13" t="n">
        <v>1</v>
      </c>
      <c r="K3" s="13" t="n">
        <v>10</v>
      </c>
      <c r="L3" s="13" t="s">
        <v>59</v>
      </c>
      <c r="M3" s="13" t="s">
        <v>60</v>
      </c>
      <c r="N3" s="13" t="s">
        <v>1428</v>
      </c>
      <c r="O3" s="13" t="s">
        <v>1429</v>
      </c>
    </row>
    <row r="4" customFormat="false" ht="64.15" hidden="false" customHeight="false" outlineLevel="0" collapsed="false">
      <c r="A4" s="13" t="s">
        <v>1430</v>
      </c>
      <c r="B4" s="13" t="s">
        <v>1431</v>
      </c>
      <c r="C4" s="13" t="s">
        <v>1423</v>
      </c>
      <c r="D4" s="14"/>
      <c r="E4" s="14"/>
      <c r="F4" s="13" t="n">
        <v>1</v>
      </c>
      <c r="G4" s="13" t="s">
        <v>595</v>
      </c>
      <c r="H4" s="13" t="n">
        <v>7</v>
      </c>
      <c r="I4" s="13" t="n">
        <f aca="false">ROUND(15.3*'Mode d''emploi'!$B$20/60,0)</f>
        <v>15</v>
      </c>
      <c r="J4" s="13" t="n">
        <v>1</v>
      </c>
      <c r="K4" s="13" t="n">
        <v>10</v>
      </c>
      <c r="L4" s="13" t="s">
        <v>59</v>
      </c>
      <c r="M4" s="13" t="s">
        <v>60</v>
      </c>
      <c r="N4" s="13" t="s">
        <v>1432</v>
      </c>
      <c r="O4" s="13" t="s">
        <v>1433</v>
      </c>
    </row>
    <row r="5" customFormat="false" ht="74.6" hidden="false" customHeight="false" outlineLevel="0" collapsed="false">
      <c r="A5" s="13" t="s">
        <v>1434</v>
      </c>
      <c r="B5" s="13" t="s">
        <v>1435</v>
      </c>
      <c r="C5" s="13" t="s">
        <v>1423</v>
      </c>
      <c r="D5" s="14"/>
      <c r="E5" s="14"/>
      <c r="F5" s="13" t="n">
        <v>1</v>
      </c>
      <c r="G5" s="13" t="s">
        <v>595</v>
      </c>
      <c r="H5" s="13" t="n">
        <v>9</v>
      </c>
      <c r="I5" s="13" t="n">
        <f aca="false">ROUND(20.7*'Mode d''emploi'!$B$20/60,0)</f>
        <v>21</v>
      </c>
      <c r="J5" s="13" t="n">
        <v>1</v>
      </c>
      <c r="K5" s="13" t="n">
        <v>10</v>
      </c>
      <c r="L5" s="13" t="s">
        <v>59</v>
      </c>
      <c r="M5" s="13" t="s">
        <v>60</v>
      </c>
      <c r="N5" s="13" t="s">
        <v>1436</v>
      </c>
      <c r="O5" s="13" t="s">
        <v>1437</v>
      </c>
    </row>
    <row r="6" customFormat="false" ht="64.15" hidden="false" customHeight="false" outlineLevel="0" collapsed="false">
      <c r="A6" s="13" t="s">
        <v>1438</v>
      </c>
      <c r="B6" s="13" t="s">
        <v>1439</v>
      </c>
      <c r="C6" s="13" t="s">
        <v>1423</v>
      </c>
      <c r="D6" s="14"/>
      <c r="E6" s="14"/>
      <c r="F6" s="13" t="n">
        <v>1</v>
      </c>
      <c r="G6" s="13" t="s">
        <v>595</v>
      </c>
      <c r="H6" s="13" t="n">
        <v>7</v>
      </c>
      <c r="I6" s="13" t="n">
        <f aca="false">ROUND(13*'Mode d''emploi'!$B$20/60,0)</f>
        <v>13</v>
      </c>
      <c r="J6" s="13" t="n">
        <v>1</v>
      </c>
      <c r="K6" s="13" t="n">
        <v>10</v>
      </c>
      <c r="L6" s="13" t="s">
        <v>59</v>
      </c>
      <c r="M6" s="13" t="s">
        <v>60</v>
      </c>
      <c r="N6" s="13" t="s">
        <v>1440</v>
      </c>
      <c r="O6" s="13" t="s">
        <v>1441</v>
      </c>
    </row>
    <row r="7" customFormat="false" ht="64.15" hidden="false" customHeight="false" outlineLevel="0" collapsed="false">
      <c r="A7" s="13" t="s">
        <v>1442</v>
      </c>
      <c r="B7" s="13" t="s">
        <v>1443</v>
      </c>
      <c r="C7" s="13" t="s">
        <v>1423</v>
      </c>
      <c r="D7" s="14"/>
      <c r="E7" s="14"/>
      <c r="F7" s="13" t="n">
        <v>1</v>
      </c>
      <c r="G7" s="13" t="s">
        <v>595</v>
      </c>
      <c r="H7" s="13" t="n">
        <v>9</v>
      </c>
      <c r="I7" s="13" t="n">
        <f aca="false">ROUND(13.6*'Mode d''emploi'!$B$20/60,0)</f>
        <v>14</v>
      </c>
      <c r="J7" s="13" t="n">
        <v>1</v>
      </c>
      <c r="K7" s="13" t="n">
        <v>10</v>
      </c>
      <c r="L7" s="13" t="s">
        <v>59</v>
      </c>
      <c r="M7" s="13" t="s">
        <v>60</v>
      </c>
      <c r="N7" s="13" t="s">
        <v>1444</v>
      </c>
      <c r="O7" s="13" t="s">
        <v>1445</v>
      </c>
    </row>
    <row r="8" customFormat="false" ht="74.6" hidden="false" customHeight="false" outlineLevel="0" collapsed="false">
      <c r="A8" s="13" t="s">
        <v>1446</v>
      </c>
      <c r="B8" s="13" t="s">
        <v>1447</v>
      </c>
      <c r="C8" s="13" t="s">
        <v>1423</v>
      </c>
      <c r="D8" s="14"/>
      <c r="E8" s="14"/>
      <c r="F8" s="13" t="n">
        <v>1</v>
      </c>
      <c r="G8" s="13" t="s">
        <v>595</v>
      </c>
      <c r="H8" s="13" t="n">
        <v>9</v>
      </c>
      <c r="I8" s="13" t="n">
        <f aca="false">ROUND(14.9*'Mode d''emploi'!$B$20/60,0)</f>
        <v>15</v>
      </c>
      <c r="J8" s="13" t="n">
        <v>1</v>
      </c>
      <c r="K8" s="13" t="n">
        <v>10</v>
      </c>
      <c r="L8" s="13" t="s">
        <v>59</v>
      </c>
      <c r="M8" s="13" t="s">
        <v>60</v>
      </c>
      <c r="N8" s="13" t="s">
        <v>1448</v>
      </c>
      <c r="O8" s="13" t="s">
        <v>1449</v>
      </c>
    </row>
    <row r="9" customFormat="false" ht="53.7" hidden="false" customHeight="false" outlineLevel="0" collapsed="false">
      <c r="A9" s="13" t="s">
        <v>1450</v>
      </c>
      <c r="B9" s="13" t="s">
        <v>1451</v>
      </c>
      <c r="C9" s="13" t="s">
        <v>1423</v>
      </c>
      <c r="D9" s="14"/>
      <c r="E9" s="14"/>
      <c r="F9" s="13" t="n">
        <v>1</v>
      </c>
      <c r="G9" s="13" t="s">
        <v>595</v>
      </c>
      <c r="H9" s="13" t="n">
        <v>10</v>
      </c>
      <c r="I9" s="13" t="n">
        <f aca="false">ROUND(13.7*'Mode d''emploi'!$B$20/60,0)</f>
        <v>14</v>
      </c>
      <c r="J9" s="13" t="n">
        <v>1</v>
      </c>
      <c r="K9" s="13" t="n">
        <v>10</v>
      </c>
      <c r="L9" s="13" t="s">
        <v>59</v>
      </c>
      <c r="M9" s="13" t="s">
        <v>60</v>
      </c>
      <c r="N9" s="13" t="s">
        <v>1452</v>
      </c>
      <c r="O9" s="13" t="s">
        <v>1453</v>
      </c>
    </row>
    <row r="10" customFormat="false" ht="95.5" hidden="false" customHeight="false" outlineLevel="0" collapsed="false">
      <c r="A10" s="13" t="s">
        <v>1454</v>
      </c>
      <c r="B10" s="13" t="s">
        <v>1455</v>
      </c>
      <c r="C10" s="13" t="s">
        <v>1423</v>
      </c>
      <c r="D10" s="14"/>
      <c r="E10" s="14"/>
      <c r="F10" s="13" t="n">
        <v>1</v>
      </c>
      <c r="G10" s="13" t="s">
        <v>1456</v>
      </c>
      <c r="H10" s="13" t="n">
        <v>11</v>
      </c>
      <c r="I10" s="13" t="n">
        <f aca="false">ROUND(22.7*'Mode d''emploi'!$B$20/60,0)</f>
        <v>23</v>
      </c>
      <c r="J10" s="13" t="n">
        <v>2</v>
      </c>
      <c r="K10" s="13" t="n">
        <v>15</v>
      </c>
      <c r="L10" s="13" t="s">
        <v>59</v>
      </c>
      <c r="M10" s="13" t="s">
        <v>60</v>
      </c>
      <c r="N10" s="13"/>
      <c r="O10" s="13" t="s">
        <v>1457</v>
      </c>
    </row>
    <row r="11" customFormat="false" ht="95.5" hidden="false" customHeight="false" outlineLevel="0" collapsed="false">
      <c r="A11" s="13" t="s">
        <v>1458</v>
      </c>
      <c r="B11" s="13" t="s">
        <v>1459</v>
      </c>
      <c r="C11" s="13" t="s">
        <v>1423</v>
      </c>
      <c r="D11" s="14"/>
      <c r="E11" s="14"/>
      <c r="F11" s="13" t="n">
        <v>1</v>
      </c>
      <c r="G11" s="13" t="s">
        <v>1460</v>
      </c>
      <c r="H11" s="13" t="n">
        <v>9</v>
      </c>
      <c r="I11" s="13" t="n">
        <f aca="false">ROUND(20*'Mode d''emploi'!$B$20/60,0)</f>
        <v>20</v>
      </c>
      <c r="J11" s="13" t="n">
        <v>2</v>
      </c>
      <c r="K11" s="13" t="n">
        <v>15</v>
      </c>
      <c r="L11" s="13" t="s">
        <v>59</v>
      </c>
      <c r="M11" s="13" t="s">
        <v>60</v>
      </c>
      <c r="N11" s="13"/>
      <c r="O11" s="13" t="s">
        <v>1461</v>
      </c>
    </row>
    <row r="12" customFormat="false" ht="74.6" hidden="false" customHeight="false" outlineLevel="0" collapsed="false">
      <c r="A12" s="13" t="s">
        <v>1462</v>
      </c>
      <c r="B12" s="13" t="s">
        <v>1463</v>
      </c>
      <c r="C12" s="13" t="s">
        <v>1423</v>
      </c>
      <c r="D12" s="14"/>
      <c r="E12" s="14"/>
      <c r="F12" s="13" t="n">
        <v>1</v>
      </c>
      <c r="G12" s="13" t="s">
        <v>595</v>
      </c>
      <c r="H12" s="13" t="n">
        <v>8</v>
      </c>
      <c r="I12" s="13" t="n">
        <f aca="false">ROUND(24.6*'Mode d''emploi'!$B$20/60,0)</f>
        <v>25</v>
      </c>
      <c r="J12" s="13" t="n">
        <v>2</v>
      </c>
      <c r="K12" s="13" t="n">
        <v>15</v>
      </c>
      <c r="L12" s="13" t="s">
        <v>59</v>
      </c>
      <c r="M12" s="13" t="s">
        <v>60</v>
      </c>
      <c r="N12" s="13"/>
      <c r="O12" s="13" t="s">
        <v>1464</v>
      </c>
    </row>
    <row r="13" customFormat="false" ht="116.4" hidden="false" customHeight="false" outlineLevel="0" collapsed="false">
      <c r="A13" s="13" t="s">
        <v>1465</v>
      </c>
      <c r="B13" s="13" t="s">
        <v>1455</v>
      </c>
      <c r="C13" s="13" t="s">
        <v>1423</v>
      </c>
      <c r="D13" s="14"/>
      <c r="E13" s="14"/>
      <c r="F13" s="13" t="n">
        <v>1</v>
      </c>
      <c r="G13" s="13" t="s">
        <v>1456</v>
      </c>
      <c r="H13" s="13" t="n">
        <v>14</v>
      </c>
      <c r="I13" s="13" t="n">
        <f aca="false">ROUND(31.5*'Mode d''emploi'!$B$20/60,0)</f>
        <v>32</v>
      </c>
      <c r="J13" s="13" t="n">
        <v>2</v>
      </c>
      <c r="K13" s="13" t="n">
        <v>15</v>
      </c>
      <c r="L13" s="13" t="s">
        <v>59</v>
      </c>
      <c r="M13" s="13" t="s">
        <v>60</v>
      </c>
      <c r="N13" s="13"/>
      <c r="O13" s="13" t="s">
        <v>1466</v>
      </c>
    </row>
    <row r="14" customFormat="false" ht="126.85" hidden="false" customHeight="false" outlineLevel="0" collapsed="false">
      <c r="A14" s="13" t="s">
        <v>1467</v>
      </c>
      <c r="B14" s="13" t="s">
        <v>1459</v>
      </c>
      <c r="C14" s="13" t="s">
        <v>1423</v>
      </c>
      <c r="D14" s="14"/>
      <c r="E14" s="14"/>
      <c r="F14" s="13" t="n">
        <v>1</v>
      </c>
      <c r="G14" s="13" t="s">
        <v>1460</v>
      </c>
      <c r="H14" s="13" t="n">
        <v>14</v>
      </c>
      <c r="I14" s="13" t="n">
        <f aca="false">ROUND(30.1*'Mode d''emploi'!$B$20/60,0)</f>
        <v>30</v>
      </c>
      <c r="J14" s="13" t="n">
        <v>2</v>
      </c>
      <c r="K14" s="13" t="n">
        <v>15</v>
      </c>
      <c r="L14" s="13" t="s">
        <v>59</v>
      </c>
      <c r="M14" s="13" t="s">
        <v>60</v>
      </c>
      <c r="N14" s="13"/>
      <c r="O14" s="13" t="s">
        <v>1468</v>
      </c>
    </row>
    <row r="15" customFormat="false" ht="116.4" hidden="false" customHeight="false" outlineLevel="0" collapsed="false">
      <c r="A15" s="13" t="s">
        <v>1469</v>
      </c>
      <c r="B15" s="13" t="s">
        <v>1470</v>
      </c>
      <c r="C15" s="13" t="s">
        <v>1423</v>
      </c>
      <c r="D15" s="14"/>
      <c r="E15" s="14"/>
      <c r="F15" s="13" t="n">
        <v>1</v>
      </c>
      <c r="G15" s="13" t="s">
        <v>595</v>
      </c>
      <c r="H15" s="13" t="n">
        <v>14</v>
      </c>
      <c r="I15" s="13" t="n">
        <f aca="false">ROUND(44*'Mode d''emploi'!$B$20/60,0)</f>
        <v>44</v>
      </c>
      <c r="J15" s="13" t="n">
        <v>2</v>
      </c>
      <c r="K15" s="13" t="n">
        <v>15</v>
      </c>
      <c r="L15" s="13" t="s">
        <v>59</v>
      </c>
      <c r="M15" s="13" t="s">
        <v>60</v>
      </c>
      <c r="N15" s="13"/>
      <c r="O15" s="13" t="s">
        <v>1471</v>
      </c>
    </row>
    <row r="16" customFormat="false" ht="126.85" hidden="false" customHeight="false" outlineLevel="0" collapsed="false">
      <c r="A16" s="13" t="s">
        <v>1472</v>
      </c>
      <c r="B16" s="13" t="s">
        <v>1455</v>
      </c>
      <c r="C16" s="13" t="s">
        <v>1423</v>
      </c>
      <c r="D16" s="14"/>
      <c r="E16" s="14"/>
      <c r="F16" s="13" t="n">
        <v>1</v>
      </c>
      <c r="G16" s="13" t="s">
        <v>1456</v>
      </c>
      <c r="H16" s="13" t="n">
        <v>20</v>
      </c>
      <c r="I16" s="13" t="n">
        <f aca="false">ROUND(45.4*'Mode d''emploi'!$B$20/60,0)</f>
        <v>45</v>
      </c>
      <c r="J16" s="13" t="n">
        <v>3</v>
      </c>
      <c r="K16" s="13" t="n">
        <v>15</v>
      </c>
      <c r="L16" s="13" t="s">
        <v>59</v>
      </c>
      <c r="M16" s="13" t="s">
        <v>60</v>
      </c>
      <c r="N16" s="13"/>
      <c r="O16" s="13" t="s">
        <v>1473</v>
      </c>
    </row>
    <row r="17" customFormat="false" ht="126.85" hidden="false" customHeight="false" outlineLevel="0" collapsed="false">
      <c r="A17" s="13" t="s">
        <v>1474</v>
      </c>
      <c r="B17" s="13" t="s">
        <v>1459</v>
      </c>
      <c r="C17" s="13" t="s">
        <v>1423</v>
      </c>
      <c r="D17" s="14"/>
      <c r="E17" s="14"/>
      <c r="F17" s="13" t="n">
        <v>1</v>
      </c>
      <c r="G17" s="13" t="s">
        <v>1460</v>
      </c>
      <c r="H17" s="13" t="n">
        <v>18</v>
      </c>
      <c r="I17" s="13" t="n">
        <f aca="false">ROUND(41.5*'Mode d''emploi'!$B$20/60,0)</f>
        <v>42</v>
      </c>
      <c r="J17" s="13" t="n">
        <v>3</v>
      </c>
      <c r="K17" s="13" t="n">
        <v>15</v>
      </c>
      <c r="L17" s="13" t="s">
        <v>59</v>
      </c>
      <c r="M17" s="13" t="s">
        <v>60</v>
      </c>
      <c r="N17" s="13"/>
      <c r="O17" s="13" t="s">
        <v>1475</v>
      </c>
    </row>
    <row r="18" customFormat="false" ht="126.85" hidden="false" customHeight="false" outlineLevel="0" collapsed="false">
      <c r="A18" s="13" t="s">
        <v>1476</v>
      </c>
      <c r="B18" s="13" t="s">
        <v>1470</v>
      </c>
      <c r="C18" s="13" t="s">
        <v>1423</v>
      </c>
      <c r="D18" s="14"/>
      <c r="E18" s="14"/>
      <c r="F18" s="13" t="n">
        <v>1</v>
      </c>
      <c r="G18" s="13" t="s">
        <v>595</v>
      </c>
      <c r="H18" s="13" t="n">
        <v>20</v>
      </c>
      <c r="I18" s="13" t="n">
        <f aca="false">ROUND(66.3*'Mode d''emploi'!$B$20/60,0)</f>
        <v>66</v>
      </c>
      <c r="J18" s="13" t="n">
        <v>3</v>
      </c>
      <c r="K18" s="13" t="n">
        <v>15</v>
      </c>
      <c r="L18" s="13" t="s">
        <v>59</v>
      </c>
      <c r="M18" s="13" t="s">
        <v>60</v>
      </c>
      <c r="N18" s="13"/>
      <c r="O18" s="13" t="s">
        <v>1477</v>
      </c>
    </row>
    <row r="19" customFormat="false" ht="147.75" hidden="false" customHeight="false" outlineLevel="0" collapsed="false">
      <c r="A19" s="13" t="s">
        <v>1478</v>
      </c>
      <c r="B19" s="13" t="s">
        <v>1455</v>
      </c>
      <c r="C19" s="13" t="s">
        <v>1423</v>
      </c>
      <c r="D19" s="14"/>
      <c r="E19" s="14"/>
      <c r="F19" s="13" t="n">
        <v>2</v>
      </c>
      <c r="G19" s="13" t="s">
        <v>1456</v>
      </c>
      <c r="H19" s="13" t="n">
        <v>24</v>
      </c>
      <c r="I19" s="13" t="n">
        <f aca="false">ROUND(54.6*'Mode d''emploi'!$B$20/60,0)</f>
        <v>55</v>
      </c>
      <c r="J19" s="13" t="n">
        <v>3</v>
      </c>
      <c r="K19" s="13" t="n">
        <v>15</v>
      </c>
      <c r="L19" s="13" t="s">
        <v>59</v>
      </c>
      <c r="M19" s="13" t="s">
        <v>60</v>
      </c>
      <c r="N19" s="13"/>
      <c r="O19" s="13" t="s">
        <v>1479</v>
      </c>
    </row>
    <row r="20" customFormat="false" ht="168.65" hidden="false" customHeight="false" outlineLevel="0" collapsed="false">
      <c r="A20" s="13" t="s">
        <v>1480</v>
      </c>
      <c r="B20" s="13" t="s">
        <v>1459</v>
      </c>
      <c r="C20" s="13" t="s">
        <v>1423</v>
      </c>
      <c r="D20" s="14"/>
      <c r="E20" s="14"/>
      <c r="F20" s="13" t="n">
        <v>2</v>
      </c>
      <c r="G20" s="13" t="s">
        <v>1460</v>
      </c>
      <c r="H20" s="13" t="n">
        <v>26</v>
      </c>
      <c r="I20" s="13" t="n">
        <f aca="false">ROUND(66*'Mode d''emploi'!$B$20/60,0)</f>
        <v>66</v>
      </c>
      <c r="J20" s="13" t="n">
        <v>3</v>
      </c>
      <c r="K20" s="13" t="n">
        <v>15</v>
      </c>
      <c r="L20" s="13" t="s">
        <v>59</v>
      </c>
      <c r="M20" s="13" t="s">
        <v>60</v>
      </c>
      <c r="N20" s="13"/>
      <c r="O20" s="13" t="s">
        <v>1481</v>
      </c>
    </row>
    <row r="21" customFormat="false" ht="147.75" hidden="false" customHeight="false" outlineLevel="0" collapsed="false">
      <c r="A21" s="13" t="s">
        <v>1482</v>
      </c>
      <c r="B21" s="13" t="s">
        <v>1470</v>
      </c>
      <c r="C21" s="13" t="s">
        <v>1423</v>
      </c>
      <c r="D21" s="14"/>
      <c r="E21" s="14"/>
      <c r="F21" s="13" t="n">
        <v>2</v>
      </c>
      <c r="G21" s="13" t="s">
        <v>595</v>
      </c>
      <c r="H21" s="13" t="n">
        <v>23</v>
      </c>
      <c r="I21" s="13" t="n">
        <f aca="false">ROUND(76.1*'Mode d''emploi'!$B$20/60,0)</f>
        <v>76</v>
      </c>
      <c r="J21" s="13" t="n">
        <v>3</v>
      </c>
      <c r="K21" s="13" t="n">
        <v>15</v>
      </c>
      <c r="L21" s="13" t="s">
        <v>59</v>
      </c>
      <c r="M21" s="13" t="s">
        <v>60</v>
      </c>
      <c r="N21" s="13"/>
      <c r="O21" s="13" t="s">
        <v>1483</v>
      </c>
    </row>
    <row r="22" customFormat="false" ht="95.5" hidden="false" customHeight="false" outlineLevel="0" collapsed="false">
      <c r="A22" s="13" t="s">
        <v>1484</v>
      </c>
      <c r="B22" s="13" t="s">
        <v>1485</v>
      </c>
      <c r="C22" s="13" t="s">
        <v>1423</v>
      </c>
      <c r="D22" s="14"/>
      <c r="E22" s="14"/>
      <c r="F22" s="13" t="n">
        <v>1</v>
      </c>
      <c r="G22" s="13" t="s">
        <v>154</v>
      </c>
      <c r="H22" s="13" t="n">
        <v>12</v>
      </c>
      <c r="I22" s="13" t="n">
        <f aca="false">ROUND(27.5*'Mode d''emploi'!$B$20/60,0)</f>
        <v>28</v>
      </c>
      <c r="J22" s="13" t="n">
        <v>2</v>
      </c>
      <c r="K22" s="13" t="n">
        <v>15</v>
      </c>
      <c r="L22" s="13" t="s">
        <v>59</v>
      </c>
      <c r="M22" s="13" t="s">
        <v>60</v>
      </c>
      <c r="N22" s="13"/>
      <c r="O22" s="13" t="s">
        <v>1486</v>
      </c>
    </row>
    <row r="23" customFormat="false" ht="95.5" hidden="false" customHeight="false" outlineLevel="0" collapsed="false">
      <c r="A23" s="13" t="s">
        <v>1487</v>
      </c>
      <c r="B23" s="13" t="s">
        <v>1488</v>
      </c>
      <c r="C23" s="13" t="s">
        <v>1423</v>
      </c>
      <c r="D23" s="14"/>
      <c r="E23" s="14"/>
      <c r="F23" s="13" t="n">
        <v>1</v>
      </c>
      <c r="G23" s="13" t="s">
        <v>57</v>
      </c>
      <c r="H23" s="13" t="n">
        <v>11</v>
      </c>
      <c r="I23" s="13" t="n">
        <f aca="false">ROUND(23.9*'Mode d''emploi'!$B$20/60,0)</f>
        <v>24</v>
      </c>
      <c r="J23" s="13" t="n">
        <v>2</v>
      </c>
      <c r="K23" s="13" t="n">
        <v>15</v>
      </c>
      <c r="L23" s="13" t="s">
        <v>59</v>
      </c>
      <c r="M23" s="13" t="s">
        <v>60</v>
      </c>
      <c r="N23" s="13"/>
      <c r="O23" s="13" t="s">
        <v>1489</v>
      </c>
    </row>
    <row r="24" customFormat="false" ht="85.05" hidden="false" customHeight="false" outlineLevel="0" collapsed="false">
      <c r="A24" s="13" t="s">
        <v>1490</v>
      </c>
      <c r="B24" s="13" t="s">
        <v>1491</v>
      </c>
      <c r="C24" s="13" t="s">
        <v>1423</v>
      </c>
      <c r="D24" s="14"/>
      <c r="E24" s="14"/>
      <c r="F24" s="13" t="n">
        <v>1</v>
      </c>
      <c r="G24" s="13" t="s">
        <v>241</v>
      </c>
      <c r="H24" s="13" t="n">
        <v>9</v>
      </c>
      <c r="I24" s="13" t="n">
        <f aca="false">ROUND(20*'Mode d''emploi'!$B$20/60,0)</f>
        <v>20</v>
      </c>
      <c r="J24" s="13" t="n">
        <v>2</v>
      </c>
      <c r="K24" s="13" t="n">
        <v>15</v>
      </c>
      <c r="L24" s="13" t="s">
        <v>59</v>
      </c>
      <c r="M24" s="13" t="s">
        <v>60</v>
      </c>
      <c r="N24" s="13"/>
      <c r="O24" s="13" t="s">
        <v>1492</v>
      </c>
    </row>
    <row r="25" customFormat="false" ht="116.4" hidden="false" customHeight="false" outlineLevel="0" collapsed="false">
      <c r="A25" s="13" t="s">
        <v>1493</v>
      </c>
      <c r="B25" s="13" t="s">
        <v>1494</v>
      </c>
      <c r="C25" s="13" t="s">
        <v>1423</v>
      </c>
      <c r="D25" s="14"/>
      <c r="E25" s="14"/>
      <c r="F25" s="13" t="n">
        <v>1</v>
      </c>
      <c r="G25" s="13" t="s">
        <v>154</v>
      </c>
      <c r="H25" s="13" t="n">
        <v>15</v>
      </c>
      <c r="I25" s="13" t="n">
        <f aca="false">ROUND(34.9*'Mode d''emploi'!$B$20/60,0)</f>
        <v>35</v>
      </c>
      <c r="J25" s="13" t="n">
        <v>2</v>
      </c>
      <c r="K25" s="13" t="n">
        <v>15</v>
      </c>
      <c r="L25" s="13" t="s">
        <v>59</v>
      </c>
      <c r="M25" s="13" t="s">
        <v>60</v>
      </c>
      <c r="N25" s="13"/>
      <c r="O25" s="13" t="s">
        <v>1495</v>
      </c>
    </row>
    <row r="26" customFormat="false" ht="116.4" hidden="false" customHeight="false" outlineLevel="0" collapsed="false">
      <c r="A26" s="13" t="s">
        <v>1496</v>
      </c>
      <c r="B26" s="13" t="s">
        <v>1488</v>
      </c>
      <c r="C26" s="13" t="s">
        <v>1423</v>
      </c>
      <c r="D26" s="14"/>
      <c r="E26" s="14"/>
      <c r="F26" s="13" t="n">
        <v>1</v>
      </c>
      <c r="G26" s="13" t="s">
        <v>57</v>
      </c>
      <c r="H26" s="13" t="n">
        <v>14</v>
      </c>
      <c r="I26" s="13" t="n">
        <f aca="false">ROUND(32.1*'Mode d''emploi'!$B$20/60,0)</f>
        <v>32</v>
      </c>
      <c r="J26" s="13" t="n">
        <v>2</v>
      </c>
      <c r="K26" s="13" t="n">
        <v>15</v>
      </c>
      <c r="L26" s="13" t="s">
        <v>59</v>
      </c>
      <c r="M26" s="13" t="s">
        <v>60</v>
      </c>
      <c r="N26" s="13"/>
      <c r="O26" s="13" t="s">
        <v>1497</v>
      </c>
    </row>
    <row r="27" customFormat="false" ht="105.95" hidden="false" customHeight="false" outlineLevel="0" collapsed="false">
      <c r="A27" s="13" t="s">
        <v>1498</v>
      </c>
      <c r="B27" s="13" t="s">
        <v>1499</v>
      </c>
      <c r="C27" s="13" t="s">
        <v>1423</v>
      </c>
      <c r="D27" s="14"/>
      <c r="E27" s="14"/>
      <c r="F27" s="13" t="n">
        <v>1</v>
      </c>
      <c r="G27" s="13" t="s">
        <v>241</v>
      </c>
      <c r="H27" s="13" t="n">
        <v>13</v>
      </c>
      <c r="I27" s="13" t="n">
        <f aca="false">ROUND(35*'Mode d''emploi'!$B$20/60,0)</f>
        <v>35</v>
      </c>
      <c r="J27" s="13" t="n">
        <v>2</v>
      </c>
      <c r="K27" s="13" t="n">
        <v>15</v>
      </c>
      <c r="L27" s="13" t="s">
        <v>59</v>
      </c>
      <c r="M27" s="13" t="s">
        <v>60</v>
      </c>
      <c r="N27" s="13"/>
      <c r="O27" s="13" t="s">
        <v>1500</v>
      </c>
    </row>
    <row r="28" customFormat="false" ht="116.4" hidden="false" customHeight="false" outlineLevel="0" collapsed="false">
      <c r="A28" s="13" t="s">
        <v>1501</v>
      </c>
      <c r="B28" s="13" t="s">
        <v>1502</v>
      </c>
      <c r="C28" s="13" t="s">
        <v>1423</v>
      </c>
      <c r="D28" s="14"/>
      <c r="E28" s="14"/>
      <c r="F28" s="13" t="n">
        <v>1</v>
      </c>
      <c r="G28" s="13" t="s">
        <v>154</v>
      </c>
      <c r="H28" s="13" t="n">
        <v>21</v>
      </c>
      <c r="I28" s="13" t="n">
        <f aca="false">ROUND(47.9*'Mode d''emploi'!$B$20/60,0)</f>
        <v>48</v>
      </c>
      <c r="J28" s="13" t="n">
        <v>3</v>
      </c>
      <c r="K28" s="13" t="n">
        <v>15</v>
      </c>
      <c r="L28" s="13" t="s">
        <v>59</v>
      </c>
      <c r="M28" s="13" t="s">
        <v>60</v>
      </c>
      <c r="N28" s="13"/>
      <c r="O28" s="13" t="s">
        <v>1503</v>
      </c>
    </row>
    <row r="29" customFormat="false" ht="116.4" hidden="false" customHeight="false" outlineLevel="0" collapsed="false">
      <c r="A29" s="13" t="s">
        <v>1504</v>
      </c>
      <c r="B29" s="13" t="s">
        <v>1488</v>
      </c>
      <c r="C29" s="13" t="s">
        <v>1423</v>
      </c>
      <c r="D29" s="14"/>
      <c r="E29" s="14"/>
      <c r="F29" s="13" t="n">
        <v>1</v>
      </c>
      <c r="G29" s="13" t="s">
        <v>57</v>
      </c>
      <c r="H29" s="13" t="n">
        <v>19</v>
      </c>
      <c r="I29" s="13" t="n">
        <f aca="false">ROUND(46.7*'Mode d''emploi'!$B$20/60,0)</f>
        <v>47</v>
      </c>
      <c r="J29" s="13" t="n">
        <v>3</v>
      </c>
      <c r="K29" s="13" t="n">
        <v>15</v>
      </c>
      <c r="L29" s="13" t="s">
        <v>59</v>
      </c>
      <c r="M29" s="13" t="s">
        <v>60</v>
      </c>
      <c r="N29" s="13"/>
      <c r="O29" s="13" t="s">
        <v>1505</v>
      </c>
    </row>
    <row r="30" customFormat="false" ht="116.4" hidden="false" customHeight="false" outlineLevel="0" collapsed="false">
      <c r="A30" s="13" t="s">
        <v>1506</v>
      </c>
      <c r="B30" s="13" t="s">
        <v>1499</v>
      </c>
      <c r="C30" s="13" t="s">
        <v>1423</v>
      </c>
      <c r="D30" s="14"/>
      <c r="E30" s="14"/>
      <c r="F30" s="13" t="n">
        <v>1</v>
      </c>
      <c r="G30" s="13" t="s">
        <v>241</v>
      </c>
      <c r="H30" s="13" t="n">
        <v>18</v>
      </c>
      <c r="I30" s="13" t="n">
        <f aca="false">ROUND(52.6*'Mode d''emploi'!$B$20/60,0)</f>
        <v>53</v>
      </c>
      <c r="J30" s="13" t="n">
        <v>3</v>
      </c>
      <c r="K30" s="13" t="n">
        <v>15</v>
      </c>
      <c r="L30" s="13" t="s">
        <v>59</v>
      </c>
      <c r="M30" s="13" t="s">
        <v>60</v>
      </c>
      <c r="N30" s="13"/>
      <c r="O30" s="13" t="s">
        <v>1507</v>
      </c>
    </row>
    <row r="31" customFormat="false" ht="137.3" hidden="false" customHeight="false" outlineLevel="0" collapsed="false">
      <c r="A31" s="13" t="s">
        <v>1508</v>
      </c>
      <c r="B31" s="13" t="s">
        <v>1502</v>
      </c>
      <c r="C31" s="13" t="s">
        <v>1423</v>
      </c>
      <c r="D31" s="14"/>
      <c r="E31" s="14"/>
      <c r="F31" s="13" t="n">
        <v>2</v>
      </c>
      <c r="G31" s="13" t="s">
        <v>154</v>
      </c>
      <c r="H31" s="13" t="n">
        <v>25</v>
      </c>
      <c r="I31" s="13" t="n">
        <f aca="false">ROUND(57.5*'Mode d''emploi'!$B$20/60,0)</f>
        <v>58</v>
      </c>
      <c r="J31" s="13" t="n">
        <v>3</v>
      </c>
      <c r="K31" s="13" t="n">
        <v>15</v>
      </c>
      <c r="L31" s="13" t="s">
        <v>59</v>
      </c>
      <c r="M31" s="13" t="s">
        <v>60</v>
      </c>
      <c r="N31" s="13"/>
      <c r="O31" s="13" t="s">
        <v>1509</v>
      </c>
    </row>
    <row r="32" customFormat="false" ht="147.75" hidden="false" customHeight="false" outlineLevel="0" collapsed="false">
      <c r="A32" s="13" t="s">
        <v>1510</v>
      </c>
      <c r="B32" s="13" t="s">
        <v>1488</v>
      </c>
      <c r="C32" s="13" t="s">
        <v>1423</v>
      </c>
      <c r="D32" s="14"/>
      <c r="E32" s="14"/>
      <c r="F32" s="13" t="n">
        <v>2</v>
      </c>
      <c r="G32" s="13" t="s">
        <v>57</v>
      </c>
      <c r="H32" s="13" t="n">
        <v>25</v>
      </c>
      <c r="I32" s="13" t="n">
        <f aca="false">ROUND(58.1*'Mode d''emploi'!$B$20/60,0)</f>
        <v>58</v>
      </c>
      <c r="J32" s="13" t="n">
        <v>3</v>
      </c>
      <c r="K32" s="13" t="n">
        <v>15</v>
      </c>
      <c r="L32" s="13" t="s">
        <v>59</v>
      </c>
      <c r="M32" s="13" t="s">
        <v>60</v>
      </c>
      <c r="N32" s="13"/>
      <c r="O32" s="13" t="s">
        <v>1511</v>
      </c>
    </row>
    <row r="33" customFormat="false" ht="147.75" hidden="false" customHeight="false" outlineLevel="0" collapsed="false">
      <c r="A33" s="13" t="s">
        <v>1512</v>
      </c>
      <c r="B33" s="13" t="s">
        <v>1499</v>
      </c>
      <c r="C33" s="13" t="s">
        <v>1423</v>
      </c>
      <c r="D33" s="14"/>
      <c r="E33" s="14"/>
      <c r="F33" s="13" t="n">
        <v>2</v>
      </c>
      <c r="G33" s="13" t="s">
        <v>241</v>
      </c>
      <c r="H33" s="13" t="n">
        <v>25</v>
      </c>
      <c r="I33" s="13" t="n">
        <f aca="false">ROUND(70*'Mode d''emploi'!$B$20/60,0)</f>
        <v>70</v>
      </c>
      <c r="J33" s="13" t="n">
        <v>3</v>
      </c>
      <c r="K33" s="13" t="n">
        <v>15</v>
      </c>
      <c r="L33" s="13" t="s">
        <v>59</v>
      </c>
      <c r="M33" s="13" t="s">
        <v>60</v>
      </c>
      <c r="N33" s="13"/>
      <c r="O33" s="13" t="s">
        <v>1513</v>
      </c>
    </row>
    <row r="34" customFormat="false" ht="95.5" hidden="false" customHeight="false" outlineLevel="0" collapsed="false">
      <c r="A34" s="13" t="s">
        <v>1514</v>
      </c>
      <c r="B34" s="13" t="s">
        <v>1515</v>
      </c>
      <c r="C34" s="13" t="s">
        <v>1423</v>
      </c>
      <c r="D34" s="14"/>
      <c r="E34" s="14"/>
      <c r="F34" s="13" t="n">
        <v>1</v>
      </c>
      <c r="G34" s="13" t="s">
        <v>451</v>
      </c>
      <c r="H34" s="13" t="n">
        <v>9</v>
      </c>
      <c r="I34" s="13" t="n">
        <f aca="false">ROUND(18.2*'Mode d''emploi'!$B$20/60,0)</f>
        <v>18</v>
      </c>
      <c r="J34" s="13" t="n">
        <v>2</v>
      </c>
      <c r="K34" s="13" t="n">
        <v>15</v>
      </c>
      <c r="L34" s="13" t="s">
        <v>59</v>
      </c>
      <c r="M34" s="13" t="s">
        <v>60</v>
      </c>
      <c r="N34" s="13"/>
      <c r="O34" s="13" t="s">
        <v>1516</v>
      </c>
    </row>
    <row r="35" customFormat="false" ht="95.5" hidden="false" customHeight="false" outlineLevel="0" collapsed="false">
      <c r="A35" s="13" t="s">
        <v>1517</v>
      </c>
      <c r="B35" s="13" t="s">
        <v>1518</v>
      </c>
      <c r="C35" s="13" t="s">
        <v>1423</v>
      </c>
      <c r="D35" s="14"/>
      <c r="E35" s="14"/>
      <c r="F35" s="13" t="n">
        <v>1</v>
      </c>
      <c r="G35" s="13" t="s">
        <v>1519</v>
      </c>
      <c r="H35" s="13" t="n">
        <v>9</v>
      </c>
      <c r="I35" s="13" t="n">
        <f aca="false">ROUND(20.2*'Mode d''emploi'!$B$20/60,0)</f>
        <v>20</v>
      </c>
      <c r="J35" s="13" t="n">
        <v>2</v>
      </c>
      <c r="K35" s="13" t="n">
        <v>15</v>
      </c>
      <c r="L35" s="13" t="s">
        <v>59</v>
      </c>
      <c r="M35" s="13" t="s">
        <v>60</v>
      </c>
      <c r="N35" s="13"/>
      <c r="O35" s="13" t="s">
        <v>1520</v>
      </c>
    </row>
    <row r="36" customFormat="false" ht="85.05" hidden="false" customHeight="false" outlineLevel="0" collapsed="false">
      <c r="A36" s="13" t="s">
        <v>1521</v>
      </c>
      <c r="B36" s="13" t="s">
        <v>1522</v>
      </c>
      <c r="C36" s="13" t="s">
        <v>1423</v>
      </c>
      <c r="D36" s="14"/>
      <c r="E36" s="14"/>
      <c r="F36" s="13" t="n">
        <v>1</v>
      </c>
      <c r="G36" s="13" t="s">
        <v>451</v>
      </c>
      <c r="H36" s="13" t="n">
        <v>11</v>
      </c>
      <c r="I36" s="13" t="n">
        <f aca="false">ROUND(26.3*'Mode d''emploi'!$B$20/60,0)</f>
        <v>26</v>
      </c>
      <c r="J36" s="13" t="n">
        <v>2</v>
      </c>
      <c r="K36" s="13" t="n">
        <v>15</v>
      </c>
      <c r="L36" s="13" t="s">
        <v>59</v>
      </c>
      <c r="M36" s="13" t="s">
        <v>60</v>
      </c>
      <c r="N36" s="13"/>
      <c r="O36" s="13" t="s">
        <v>1523</v>
      </c>
    </row>
    <row r="37" customFormat="false" ht="126.85" hidden="false" customHeight="false" outlineLevel="0" collapsed="false">
      <c r="A37" s="13" t="s">
        <v>1524</v>
      </c>
      <c r="B37" s="13" t="s">
        <v>1525</v>
      </c>
      <c r="C37" s="13" t="s">
        <v>1423</v>
      </c>
      <c r="D37" s="14"/>
      <c r="E37" s="14"/>
      <c r="F37" s="13" t="n">
        <v>1</v>
      </c>
      <c r="G37" s="13" t="s">
        <v>451</v>
      </c>
      <c r="H37" s="13" t="n">
        <v>14</v>
      </c>
      <c r="I37" s="13" t="n">
        <f aca="false">ROUND(28.4*'Mode d''emploi'!$B$20/60,0)</f>
        <v>28</v>
      </c>
      <c r="J37" s="13" t="n">
        <v>2</v>
      </c>
      <c r="K37" s="13" t="n">
        <v>15</v>
      </c>
      <c r="L37" s="13" t="s">
        <v>59</v>
      </c>
      <c r="M37" s="13" t="s">
        <v>60</v>
      </c>
      <c r="N37" s="13"/>
      <c r="O37" s="13" t="s">
        <v>1526</v>
      </c>
    </row>
    <row r="38" customFormat="false" ht="126.85" hidden="false" customHeight="false" outlineLevel="0" collapsed="false">
      <c r="A38" s="13" t="s">
        <v>1527</v>
      </c>
      <c r="B38" s="13" t="s">
        <v>1518</v>
      </c>
      <c r="C38" s="13" t="s">
        <v>1423</v>
      </c>
      <c r="D38" s="14"/>
      <c r="E38" s="14"/>
      <c r="F38" s="13" t="n">
        <v>1</v>
      </c>
      <c r="G38" s="13" t="s">
        <v>1519</v>
      </c>
      <c r="H38" s="13" t="n">
        <v>13</v>
      </c>
      <c r="I38" s="13" t="n">
        <f aca="false">ROUND(29.5*'Mode d''emploi'!$B$20/60,0)</f>
        <v>30</v>
      </c>
      <c r="J38" s="13" t="n">
        <v>2</v>
      </c>
      <c r="K38" s="13" t="n">
        <v>15</v>
      </c>
      <c r="L38" s="13" t="s">
        <v>59</v>
      </c>
      <c r="M38" s="13" t="s">
        <v>60</v>
      </c>
      <c r="N38" s="13"/>
      <c r="O38" s="13" t="s">
        <v>1528</v>
      </c>
    </row>
    <row r="39" customFormat="false" ht="105.95" hidden="false" customHeight="false" outlineLevel="0" collapsed="false">
      <c r="A39" s="13" t="s">
        <v>1529</v>
      </c>
      <c r="B39" s="13" t="s">
        <v>1522</v>
      </c>
      <c r="C39" s="13" t="s">
        <v>1423</v>
      </c>
      <c r="D39" s="14"/>
      <c r="E39" s="14"/>
      <c r="F39" s="13" t="n">
        <v>1</v>
      </c>
      <c r="G39" s="13" t="s">
        <v>451</v>
      </c>
      <c r="H39" s="13" t="n">
        <v>13</v>
      </c>
      <c r="I39" s="13" t="n">
        <f aca="false">ROUND(30.4*'Mode d''emploi'!$B$20/60,0)</f>
        <v>30</v>
      </c>
      <c r="J39" s="13" t="n">
        <v>2</v>
      </c>
      <c r="K39" s="13" t="n">
        <v>15</v>
      </c>
      <c r="L39" s="13" t="s">
        <v>59</v>
      </c>
      <c r="M39" s="13" t="s">
        <v>60</v>
      </c>
      <c r="N39" s="13"/>
      <c r="O39" s="13" t="s">
        <v>1530</v>
      </c>
    </row>
    <row r="40" customFormat="false" ht="147.75" hidden="false" customHeight="false" outlineLevel="0" collapsed="false">
      <c r="A40" s="13" t="s">
        <v>1531</v>
      </c>
      <c r="B40" s="13" t="s">
        <v>1525</v>
      </c>
      <c r="C40" s="13" t="s">
        <v>1423</v>
      </c>
      <c r="D40" s="14"/>
      <c r="E40" s="14"/>
      <c r="F40" s="13" t="n">
        <v>1</v>
      </c>
      <c r="G40" s="13" t="s">
        <v>451</v>
      </c>
      <c r="H40" s="13" t="n">
        <v>21</v>
      </c>
      <c r="I40" s="13" t="n">
        <f aca="false">ROUND(44.1*'Mode d''emploi'!$B$20/60,0)</f>
        <v>44</v>
      </c>
      <c r="J40" s="13" t="n">
        <v>3</v>
      </c>
      <c r="K40" s="13" t="n">
        <v>15</v>
      </c>
      <c r="L40" s="13" t="s">
        <v>59</v>
      </c>
      <c r="M40" s="13" t="s">
        <v>60</v>
      </c>
      <c r="N40" s="13"/>
      <c r="O40" s="13" t="s">
        <v>1532</v>
      </c>
    </row>
    <row r="41" customFormat="false" ht="147.75" hidden="false" customHeight="false" outlineLevel="0" collapsed="false">
      <c r="A41" s="13" t="s">
        <v>1533</v>
      </c>
      <c r="B41" s="13" t="s">
        <v>1518</v>
      </c>
      <c r="C41" s="13" t="s">
        <v>1423</v>
      </c>
      <c r="D41" s="14"/>
      <c r="E41" s="14"/>
      <c r="F41" s="13" t="n">
        <v>1</v>
      </c>
      <c r="G41" s="13" t="s">
        <v>1519</v>
      </c>
      <c r="H41" s="13" t="n">
        <v>21</v>
      </c>
      <c r="I41" s="13" t="n">
        <f aca="false">ROUND(47.5*'Mode d''emploi'!$B$20/60,0)</f>
        <v>48</v>
      </c>
      <c r="J41" s="13" t="n">
        <v>3</v>
      </c>
      <c r="K41" s="13" t="n">
        <v>15</v>
      </c>
      <c r="L41" s="13" t="s">
        <v>59</v>
      </c>
      <c r="M41" s="13" t="s">
        <v>60</v>
      </c>
      <c r="N41" s="13"/>
      <c r="O41" s="13" t="s">
        <v>1534</v>
      </c>
    </row>
    <row r="42" customFormat="false" ht="116.4" hidden="false" customHeight="false" outlineLevel="0" collapsed="false">
      <c r="A42" s="13" t="s">
        <v>1535</v>
      </c>
      <c r="B42" s="13" t="s">
        <v>1522</v>
      </c>
      <c r="C42" s="13" t="s">
        <v>1423</v>
      </c>
      <c r="D42" s="14"/>
      <c r="E42" s="14"/>
      <c r="F42" s="13" t="n">
        <v>1</v>
      </c>
      <c r="G42" s="13" t="s">
        <v>451</v>
      </c>
      <c r="H42" s="13" t="n">
        <v>18</v>
      </c>
      <c r="I42" s="13" t="n">
        <f aca="false">ROUND(45.1*'Mode d''emploi'!$B$20/60,0)</f>
        <v>45</v>
      </c>
      <c r="J42" s="13" t="n">
        <v>3</v>
      </c>
      <c r="K42" s="13" t="n">
        <v>15</v>
      </c>
      <c r="L42" s="13" t="s">
        <v>59</v>
      </c>
      <c r="M42" s="13" t="s">
        <v>60</v>
      </c>
      <c r="N42" s="13"/>
      <c r="O42" s="13" t="s">
        <v>1536</v>
      </c>
    </row>
    <row r="43" customFormat="false" ht="168.65" hidden="false" customHeight="false" outlineLevel="0" collapsed="false">
      <c r="A43" s="13" t="s">
        <v>1537</v>
      </c>
      <c r="B43" s="13" t="s">
        <v>1525</v>
      </c>
      <c r="C43" s="13" t="s">
        <v>1423</v>
      </c>
      <c r="D43" s="14"/>
      <c r="E43" s="14"/>
      <c r="F43" s="13" t="n">
        <v>2</v>
      </c>
      <c r="G43" s="13" t="s">
        <v>451</v>
      </c>
      <c r="H43" s="13" t="n">
        <v>24</v>
      </c>
      <c r="I43" s="13" t="n">
        <f aca="false">ROUND(50.3*'Mode d''emploi'!$B$20/60,0)</f>
        <v>50</v>
      </c>
      <c r="J43" s="13" t="n">
        <v>3</v>
      </c>
      <c r="K43" s="13" t="n">
        <v>15</v>
      </c>
      <c r="L43" s="13" t="s">
        <v>59</v>
      </c>
      <c r="M43" s="13" t="s">
        <v>60</v>
      </c>
      <c r="N43" s="13"/>
      <c r="O43" s="13" t="s">
        <v>1538</v>
      </c>
    </row>
    <row r="44" customFormat="false" ht="168.65" hidden="false" customHeight="false" outlineLevel="0" collapsed="false">
      <c r="A44" s="13" t="s">
        <v>1539</v>
      </c>
      <c r="B44" s="13" t="s">
        <v>1518</v>
      </c>
      <c r="C44" s="13" t="s">
        <v>1423</v>
      </c>
      <c r="D44" s="14"/>
      <c r="E44" s="14"/>
      <c r="F44" s="13" t="n">
        <v>2</v>
      </c>
      <c r="G44" s="13" t="s">
        <v>1519</v>
      </c>
      <c r="H44" s="13" t="n">
        <v>24</v>
      </c>
      <c r="I44" s="13" t="n">
        <f aca="false">ROUND(54.8*'Mode d''emploi'!$B$20/60,0)</f>
        <v>55</v>
      </c>
      <c r="J44" s="13" t="n">
        <v>3</v>
      </c>
      <c r="K44" s="13" t="n">
        <v>15</v>
      </c>
      <c r="L44" s="13" t="s">
        <v>59</v>
      </c>
      <c r="M44" s="13" t="s">
        <v>60</v>
      </c>
      <c r="N44" s="13"/>
      <c r="O44" s="13" t="s">
        <v>1540</v>
      </c>
    </row>
    <row r="45" customFormat="false" ht="147.75" hidden="false" customHeight="false" outlineLevel="0" collapsed="false">
      <c r="A45" s="13" t="s">
        <v>1541</v>
      </c>
      <c r="B45" s="13" t="s">
        <v>1522</v>
      </c>
      <c r="C45" s="13" t="s">
        <v>1423</v>
      </c>
      <c r="D45" s="14"/>
      <c r="E45" s="14"/>
      <c r="F45" s="13" t="n">
        <v>2</v>
      </c>
      <c r="G45" s="13" t="s">
        <v>451</v>
      </c>
      <c r="H45" s="13" t="n">
        <v>23</v>
      </c>
      <c r="I45" s="13" t="n">
        <f aca="false">ROUND(56.8*'Mode d''emploi'!$B$20/60,0)</f>
        <v>57</v>
      </c>
      <c r="J45" s="13" t="n">
        <v>3</v>
      </c>
      <c r="K45" s="13" t="n">
        <v>15</v>
      </c>
      <c r="L45" s="13" t="s">
        <v>59</v>
      </c>
      <c r="M45" s="13" t="s">
        <v>60</v>
      </c>
      <c r="N45" s="13"/>
      <c r="O45" s="13" t="s">
        <v>1542</v>
      </c>
    </row>
    <row r="46" customFormat="false" ht="74.6" hidden="false" customHeight="false" outlineLevel="0" collapsed="false">
      <c r="A46" s="13" t="s">
        <v>1543</v>
      </c>
      <c r="B46" s="13" t="s">
        <v>1544</v>
      </c>
      <c r="C46" s="13" t="s">
        <v>1545</v>
      </c>
      <c r="D46" s="14"/>
      <c r="E46" s="14"/>
      <c r="F46" s="13" t="n">
        <v>1</v>
      </c>
      <c r="G46" s="13" t="s">
        <v>595</v>
      </c>
      <c r="H46" s="13" t="n">
        <v>8</v>
      </c>
      <c r="I46" s="13" t="n">
        <f aca="false">ROUND(17.2*'Mode d''emploi'!$B$20/60,0)</f>
        <v>17</v>
      </c>
      <c r="J46" s="13" t="n">
        <v>2</v>
      </c>
      <c r="K46" s="13" t="n">
        <v>15</v>
      </c>
      <c r="L46" s="13" t="s">
        <v>59</v>
      </c>
      <c r="M46" s="13" t="s">
        <v>60</v>
      </c>
      <c r="N46" s="13"/>
      <c r="O46" s="13" t="s">
        <v>1546</v>
      </c>
    </row>
    <row r="47" customFormat="false" ht="116.4" hidden="false" customHeight="false" outlineLevel="0" collapsed="false">
      <c r="A47" s="13" t="s">
        <v>1547</v>
      </c>
      <c r="B47" s="13" t="s">
        <v>1548</v>
      </c>
      <c r="C47" s="13" t="s">
        <v>1545</v>
      </c>
      <c r="D47" s="14"/>
      <c r="E47" s="14"/>
      <c r="F47" s="13" t="n">
        <v>2</v>
      </c>
      <c r="G47" s="13" t="s">
        <v>595</v>
      </c>
      <c r="H47" s="13" t="n">
        <v>13</v>
      </c>
      <c r="I47" s="13" t="n">
        <f aca="false">ROUND(32.9*'Mode d''emploi'!$B$20/60,0)</f>
        <v>33</v>
      </c>
      <c r="J47" s="13" t="n">
        <v>2</v>
      </c>
      <c r="K47" s="13" t="n">
        <v>15</v>
      </c>
      <c r="L47" s="13" t="s">
        <v>59</v>
      </c>
      <c r="M47" s="13" t="s">
        <v>60</v>
      </c>
      <c r="N47" s="13"/>
      <c r="O47" s="13" t="s">
        <v>1549</v>
      </c>
    </row>
    <row r="48" customFormat="false" ht="126.85" hidden="false" customHeight="false" outlineLevel="0" collapsed="false">
      <c r="A48" s="13" t="s">
        <v>1550</v>
      </c>
      <c r="B48" s="13" t="s">
        <v>1551</v>
      </c>
      <c r="C48" s="13" t="s">
        <v>1545</v>
      </c>
      <c r="D48" s="14"/>
      <c r="E48" s="14"/>
      <c r="F48" s="13" t="n">
        <v>3</v>
      </c>
      <c r="G48" s="13" t="s">
        <v>595</v>
      </c>
      <c r="H48" s="13" t="n">
        <v>17</v>
      </c>
      <c r="I48" s="13" t="n">
        <f aca="false">ROUND(66.7*'Mode d''emploi'!$B$20/60,0)</f>
        <v>67</v>
      </c>
      <c r="J48" s="13" t="n">
        <v>3</v>
      </c>
      <c r="K48" s="13" t="n">
        <v>15</v>
      </c>
      <c r="L48" s="13" t="s">
        <v>709</v>
      </c>
      <c r="M48" s="13" t="s">
        <v>60</v>
      </c>
      <c r="N48" s="13"/>
      <c r="O48" s="13" t="s">
        <v>1552</v>
      </c>
    </row>
    <row r="49" customFormat="false" ht="74.6" hidden="false" customHeight="false" outlineLevel="0" collapsed="false">
      <c r="A49" s="13" t="s">
        <v>1553</v>
      </c>
      <c r="B49" s="13" t="s">
        <v>1554</v>
      </c>
      <c r="C49" s="13" t="s">
        <v>1545</v>
      </c>
      <c r="D49" s="14"/>
      <c r="E49" s="14"/>
      <c r="F49" s="13" t="n">
        <v>1</v>
      </c>
      <c r="G49" s="13" t="s">
        <v>451</v>
      </c>
      <c r="H49" s="13" t="n">
        <v>8</v>
      </c>
      <c r="I49" s="13" t="n">
        <f aca="false">ROUND(15.7*'Mode d''emploi'!$B$20/60,0)</f>
        <v>16</v>
      </c>
      <c r="J49" s="13" t="n">
        <v>2</v>
      </c>
      <c r="K49" s="13" t="n">
        <v>15</v>
      </c>
      <c r="L49" s="13" t="s">
        <v>59</v>
      </c>
      <c r="M49" s="13" t="s">
        <v>60</v>
      </c>
      <c r="N49" s="13"/>
      <c r="O49" s="13" t="s">
        <v>1555</v>
      </c>
    </row>
    <row r="50" customFormat="false" ht="105.95" hidden="false" customHeight="false" outlineLevel="0" collapsed="false">
      <c r="A50" s="13" t="s">
        <v>1556</v>
      </c>
      <c r="B50" s="13" t="s">
        <v>1557</v>
      </c>
      <c r="C50" s="13" t="s">
        <v>1545</v>
      </c>
      <c r="D50" s="14"/>
      <c r="E50" s="14"/>
      <c r="F50" s="13" t="n">
        <v>2</v>
      </c>
      <c r="G50" s="13" t="s">
        <v>451</v>
      </c>
      <c r="H50" s="13" t="n">
        <v>13</v>
      </c>
      <c r="I50" s="13" t="n">
        <f aca="false">ROUND(27.2*'Mode d''emploi'!$B$20/60,0)</f>
        <v>27</v>
      </c>
      <c r="J50" s="13" t="n">
        <v>2</v>
      </c>
      <c r="K50" s="13" t="n">
        <v>15</v>
      </c>
      <c r="L50" s="13" t="s">
        <v>59</v>
      </c>
      <c r="M50" s="13" t="s">
        <v>60</v>
      </c>
      <c r="N50" s="13"/>
      <c r="O50" s="13" t="s">
        <v>1558</v>
      </c>
    </row>
    <row r="51" customFormat="false" ht="116.4" hidden="false" customHeight="false" outlineLevel="0" collapsed="false">
      <c r="A51" s="13" t="s">
        <v>1559</v>
      </c>
      <c r="B51" s="13" t="s">
        <v>1560</v>
      </c>
      <c r="C51" s="13" t="s">
        <v>1545</v>
      </c>
      <c r="D51" s="14"/>
      <c r="E51" s="14"/>
      <c r="F51" s="13" t="n">
        <v>3</v>
      </c>
      <c r="G51" s="13" t="s">
        <v>451</v>
      </c>
      <c r="H51" s="13" t="n">
        <v>18</v>
      </c>
      <c r="I51" s="13" t="n">
        <f aca="false">ROUND(57*'Mode d''emploi'!$B$20/60,0)</f>
        <v>57</v>
      </c>
      <c r="J51" s="13" t="n">
        <v>3</v>
      </c>
      <c r="K51" s="13" t="n">
        <v>15</v>
      </c>
      <c r="L51" s="13" t="s">
        <v>709</v>
      </c>
      <c r="M51" s="13" t="s">
        <v>60</v>
      </c>
      <c r="N51" s="13"/>
      <c r="O51" s="13" t="s">
        <v>1561</v>
      </c>
    </row>
    <row r="52" customFormat="false" ht="74.6" hidden="false" customHeight="false" outlineLevel="0" collapsed="false">
      <c r="A52" s="13" t="s">
        <v>1562</v>
      </c>
      <c r="B52" s="13" t="s">
        <v>1563</v>
      </c>
      <c r="C52" s="13" t="s">
        <v>1545</v>
      </c>
      <c r="D52" s="14"/>
      <c r="E52" s="14"/>
      <c r="F52" s="13" t="n">
        <v>1</v>
      </c>
      <c r="G52" s="13" t="s">
        <v>84</v>
      </c>
      <c r="H52" s="13" t="n">
        <v>9</v>
      </c>
      <c r="I52" s="13" t="n">
        <f aca="false">ROUND(21.1*'Mode d''emploi'!$B$20/60,0)</f>
        <v>21</v>
      </c>
      <c r="J52" s="13" t="n">
        <v>2</v>
      </c>
      <c r="K52" s="13" t="n">
        <v>15</v>
      </c>
      <c r="L52" s="13" t="s">
        <v>59</v>
      </c>
      <c r="M52" s="13" t="s">
        <v>60</v>
      </c>
      <c r="N52" s="13"/>
      <c r="O52" s="13" t="s">
        <v>1564</v>
      </c>
    </row>
    <row r="53" customFormat="false" ht="116.4" hidden="false" customHeight="false" outlineLevel="0" collapsed="false">
      <c r="A53" s="13" t="s">
        <v>1565</v>
      </c>
      <c r="B53" s="13" t="s">
        <v>1566</v>
      </c>
      <c r="C53" s="13" t="s">
        <v>1545</v>
      </c>
      <c r="D53" s="14"/>
      <c r="E53" s="14"/>
      <c r="F53" s="13" t="n">
        <v>2</v>
      </c>
      <c r="G53" s="13" t="s">
        <v>84</v>
      </c>
      <c r="H53" s="13" t="n">
        <v>14</v>
      </c>
      <c r="I53" s="13" t="n">
        <f aca="false">ROUND(32.1*'Mode d''emploi'!$B$20/60,0)</f>
        <v>32</v>
      </c>
      <c r="J53" s="13" t="n">
        <v>2</v>
      </c>
      <c r="K53" s="13" t="n">
        <v>15</v>
      </c>
      <c r="L53" s="13" t="s">
        <v>59</v>
      </c>
      <c r="M53" s="13" t="s">
        <v>60</v>
      </c>
      <c r="N53" s="13"/>
      <c r="O53" s="13" t="s">
        <v>1567</v>
      </c>
    </row>
    <row r="54" customFormat="false" ht="116.4" hidden="false" customHeight="false" outlineLevel="0" collapsed="false">
      <c r="A54" s="13" t="s">
        <v>1568</v>
      </c>
      <c r="B54" s="13" t="s">
        <v>1569</v>
      </c>
      <c r="C54" s="13" t="s">
        <v>1545</v>
      </c>
      <c r="D54" s="14"/>
      <c r="E54" s="14"/>
      <c r="F54" s="13" t="n">
        <v>3</v>
      </c>
      <c r="G54" s="13" t="s">
        <v>84</v>
      </c>
      <c r="H54" s="13" t="n">
        <v>18</v>
      </c>
      <c r="I54" s="13" t="n">
        <f aca="false">ROUND(66.6*'Mode d''emploi'!$B$20/60,0)</f>
        <v>67</v>
      </c>
      <c r="J54" s="13" t="n">
        <v>3</v>
      </c>
      <c r="K54" s="13" t="n">
        <v>15</v>
      </c>
      <c r="L54" s="13" t="s">
        <v>709</v>
      </c>
      <c r="M54" s="13" t="s">
        <v>60</v>
      </c>
      <c r="N54" s="13"/>
      <c r="O54" s="13" t="s">
        <v>1570</v>
      </c>
    </row>
    <row r="55" customFormat="false" ht="74.6" hidden="false" customHeight="false" outlineLevel="0" collapsed="false">
      <c r="A55" s="13" t="s">
        <v>1571</v>
      </c>
      <c r="B55" s="13" t="s">
        <v>1572</v>
      </c>
      <c r="C55" s="13" t="s">
        <v>1545</v>
      </c>
      <c r="D55" s="14"/>
      <c r="E55" s="14"/>
      <c r="F55" s="13" t="n">
        <v>1</v>
      </c>
      <c r="G55" s="13" t="s">
        <v>302</v>
      </c>
      <c r="H55" s="13" t="n">
        <v>8</v>
      </c>
      <c r="I55" s="13" t="n">
        <f aca="false">ROUND(19.2*'Mode d''emploi'!$B$20/60,0)</f>
        <v>19</v>
      </c>
      <c r="J55" s="13" t="n">
        <v>2</v>
      </c>
      <c r="K55" s="13" t="n">
        <v>15</v>
      </c>
      <c r="L55" s="13" t="s">
        <v>59</v>
      </c>
      <c r="M55" s="13" t="s">
        <v>60</v>
      </c>
      <c r="N55" s="13"/>
      <c r="O55" s="13" t="s">
        <v>1573</v>
      </c>
    </row>
    <row r="56" customFormat="false" ht="116.4" hidden="false" customHeight="false" outlineLevel="0" collapsed="false">
      <c r="A56" s="13" t="s">
        <v>1574</v>
      </c>
      <c r="B56" s="13" t="s">
        <v>1575</v>
      </c>
      <c r="C56" s="13" t="s">
        <v>1545</v>
      </c>
      <c r="D56" s="14"/>
      <c r="E56" s="14"/>
      <c r="F56" s="13" t="n">
        <v>2</v>
      </c>
      <c r="G56" s="13" t="s">
        <v>302</v>
      </c>
      <c r="H56" s="13" t="n">
        <v>12</v>
      </c>
      <c r="I56" s="13" t="n">
        <f aca="false">ROUND(32.2*'Mode d''emploi'!$B$20/60,0)</f>
        <v>32</v>
      </c>
      <c r="J56" s="13" t="n">
        <v>2</v>
      </c>
      <c r="K56" s="13" t="n">
        <v>15</v>
      </c>
      <c r="L56" s="13" t="s">
        <v>59</v>
      </c>
      <c r="M56" s="13" t="s">
        <v>60</v>
      </c>
      <c r="N56" s="13"/>
      <c r="O56" s="13" t="s">
        <v>1576</v>
      </c>
    </row>
    <row r="57" customFormat="false" ht="116.4" hidden="false" customHeight="false" outlineLevel="0" collapsed="false">
      <c r="A57" s="13" t="s">
        <v>1577</v>
      </c>
      <c r="B57" s="13" t="s">
        <v>1578</v>
      </c>
      <c r="C57" s="13" t="s">
        <v>1545</v>
      </c>
      <c r="D57" s="14"/>
      <c r="E57" s="14"/>
      <c r="F57" s="13" t="n">
        <v>3</v>
      </c>
      <c r="G57" s="13" t="s">
        <v>302</v>
      </c>
      <c r="H57" s="13" t="n">
        <v>18</v>
      </c>
      <c r="I57" s="13" t="n">
        <f aca="false">ROUND(48.8*'Mode d''emploi'!$B$20/60,0)</f>
        <v>49</v>
      </c>
      <c r="J57" s="13" t="n">
        <v>3</v>
      </c>
      <c r="K57" s="13" t="n">
        <v>15</v>
      </c>
      <c r="L57" s="13" t="s">
        <v>59</v>
      </c>
      <c r="M57" s="13" t="s">
        <v>60</v>
      </c>
      <c r="N57" s="13"/>
      <c r="O57" s="13" t="s">
        <v>1579</v>
      </c>
    </row>
    <row r="58" customFormat="false" ht="74.6" hidden="false" customHeight="false" outlineLevel="0" collapsed="false">
      <c r="A58" s="13" t="s">
        <v>1580</v>
      </c>
      <c r="B58" s="13" t="s">
        <v>1581</v>
      </c>
      <c r="C58" s="13" t="s">
        <v>1545</v>
      </c>
      <c r="D58" s="14"/>
      <c r="E58" s="14"/>
      <c r="F58" s="13" t="n">
        <v>1</v>
      </c>
      <c r="G58" s="13" t="s">
        <v>407</v>
      </c>
      <c r="H58" s="13" t="n">
        <v>7</v>
      </c>
      <c r="I58" s="13" t="n">
        <f aca="false">ROUND(17.2*'Mode d''emploi'!$B$20/60,0)</f>
        <v>17</v>
      </c>
      <c r="J58" s="13" t="n">
        <v>2</v>
      </c>
      <c r="K58" s="13" t="n">
        <v>15</v>
      </c>
      <c r="L58" s="13" t="s">
        <v>59</v>
      </c>
      <c r="M58" s="13" t="s">
        <v>60</v>
      </c>
      <c r="N58" s="13"/>
      <c r="O58" s="13" t="s">
        <v>1582</v>
      </c>
    </row>
    <row r="59" customFormat="false" ht="105.95" hidden="false" customHeight="false" outlineLevel="0" collapsed="false">
      <c r="A59" s="13" t="s">
        <v>1583</v>
      </c>
      <c r="B59" s="13" t="s">
        <v>1584</v>
      </c>
      <c r="C59" s="13" t="s">
        <v>1545</v>
      </c>
      <c r="D59" s="14"/>
      <c r="E59" s="14"/>
      <c r="F59" s="13" t="n">
        <v>2</v>
      </c>
      <c r="G59" s="13" t="s">
        <v>407</v>
      </c>
      <c r="H59" s="13" t="n">
        <v>12</v>
      </c>
      <c r="I59" s="13" t="n">
        <f aca="false">ROUND(32.2*'Mode d''emploi'!$B$20/60,0)</f>
        <v>32</v>
      </c>
      <c r="J59" s="13" t="n">
        <v>2</v>
      </c>
      <c r="K59" s="13" t="n">
        <v>15</v>
      </c>
      <c r="L59" s="13" t="s">
        <v>59</v>
      </c>
      <c r="M59" s="13" t="s">
        <v>60</v>
      </c>
      <c r="N59" s="13"/>
      <c r="O59" s="13" t="s">
        <v>1585</v>
      </c>
    </row>
    <row r="60" customFormat="false" ht="116.4" hidden="false" customHeight="false" outlineLevel="0" collapsed="false">
      <c r="A60" s="13" t="s">
        <v>1586</v>
      </c>
      <c r="B60" s="13" t="s">
        <v>1587</v>
      </c>
      <c r="C60" s="13" t="s">
        <v>1545</v>
      </c>
      <c r="D60" s="14"/>
      <c r="E60" s="14"/>
      <c r="F60" s="13" t="n">
        <v>3</v>
      </c>
      <c r="G60" s="13" t="s">
        <v>407</v>
      </c>
      <c r="H60" s="13" t="n">
        <v>19</v>
      </c>
      <c r="I60" s="13" t="n">
        <f aca="false">ROUND(58.9*'Mode d''emploi'!$B$20/60,0)</f>
        <v>59</v>
      </c>
      <c r="J60" s="13" t="n">
        <v>3</v>
      </c>
      <c r="K60" s="13" t="n">
        <v>15</v>
      </c>
      <c r="L60" s="13" t="s">
        <v>59</v>
      </c>
      <c r="M60" s="13" t="s">
        <v>60</v>
      </c>
      <c r="N60" s="13"/>
      <c r="O60" s="13" t="s">
        <v>1588</v>
      </c>
    </row>
    <row r="61" customFormat="false" ht="74.6" hidden="false" customHeight="false" outlineLevel="0" collapsed="false">
      <c r="A61" s="13" t="s">
        <v>1589</v>
      </c>
      <c r="B61" s="13" t="s">
        <v>1590</v>
      </c>
      <c r="C61" s="13" t="s">
        <v>1545</v>
      </c>
      <c r="D61" s="14"/>
      <c r="E61" s="14"/>
      <c r="F61" s="13" t="n">
        <v>1</v>
      </c>
      <c r="G61" s="13" t="s">
        <v>909</v>
      </c>
      <c r="H61" s="13" t="n">
        <v>8</v>
      </c>
      <c r="I61" s="13" t="n">
        <f aca="false">ROUND(17.8*'Mode d''emploi'!$B$20/60,0)</f>
        <v>18</v>
      </c>
      <c r="J61" s="13" t="n">
        <v>2</v>
      </c>
      <c r="K61" s="13" t="n">
        <v>15</v>
      </c>
      <c r="L61" s="13" t="s">
        <v>59</v>
      </c>
      <c r="M61" s="13" t="s">
        <v>60</v>
      </c>
      <c r="N61" s="13"/>
      <c r="O61" s="13" t="s">
        <v>1591</v>
      </c>
    </row>
    <row r="62" customFormat="false" ht="105.95" hidden="false" customHeight="false" outlineLevel="0" collapsed="false">
      <c r="A62" s="13" t="s">
        <v>1592</v>
      </c>
      <c r="B62" s="13" t="s">
        <v>1593</v>
      </c>
      <c r="C62" s="13" t="s">
        <v>1545</v>
      </c>
      <c r="D62" s="14"/>
      <c r="E62" s="14"/>
      <c r="F62" s="13" t="n">
        <v>2</v>
      </c>
      <c r="G62" s="13" t="s">
        <v>909</v>
      </c>
      <c r="H62" s="13" t="n">
        <v>12</v>
      </c>
      <c r="I62" s="13" t="n">
        <f aca="false">ROUND(24.7*'Mode d''emploi'!$B$20/60,0)</f>
        <v>25</v>
      </c>
      <c r="J62" s="13" t="n">
        <v>2</v>
      </c>
      <c r="K62" s="13" t="n">
        <v>15</v>
      </c>
      <c r="L62" s="13" t="s">
        <v>59</v>
      </c>
      <c r="M62" s="13" t="s">
        <v>60</v>
      </c>
      <c r="N62" s="13"/>
      <c r="O62" s="13" t="s">
        <v>1594</v>
      </c>
    </row>
    <row r="63" customFormat="false" ht="126.85" hidden="false" customHeight="false" outlineLevel="0" collapsed="false">
      <c r="A63" s="13" t="s">
        <v>1595</v>
      </c>
      <c r="B63" s="13" t="s">
        <v>1596</v>
      </c>
      <c r="C63" s="13" t="s">
        <v>1545</v>
      </c>
      <c r="D63" s="14"/>
      <c r="E63" s="14"/>
      <c r="F63" s="13" t="n">
        <v>3</v>
      </c>
      <c r="G63" s="13" t="s">
        <v>909</v>
      </c>
      <c r="H63" s="13" t="n">
        <v>19</v>
      </c>
      <c r="I63" s="13" t="n">
        <f aca="false">ROUND(41.8*'Mode d''emploi'!$B$20/60,0)</f>
        <v>42</v>
      </c>
      <c r="J63" s="13" t="n">
        <v>3</v>
      </c>
      <c r="K63" s="13" t="n">
        <v>15</v>
      </c>
      <c r="L63" s="13" t="s">
        <v>59</v>
      </c>
      <c r="M63" s="13" t="s">
        <v>60</v>
      </c>
      <c r="N63" s="13"/>
      <c r="O63" s="13" t="s">
        <v>1597</v>
      </c>
    </row>
    <row r="64" customFormat="false" ht="95.5" hidden="false" customHeight="false" outlineLevel="0" collapsed="false">
      <c r="A64" s="13" t="s">
        <v>1598</v>
      </c>
      <c r="B64" s="13" t="s">
        <v>1599</v>
      </c>
      <c r="C64" s="13" t="s">
        <v>1600</v>
      </c>
      <c r="D64" s="14"/>
      <c r="E64" s="14"/>
      <c r="F64" s="13" t="n">
        <v>1</v>
      </c>
      <c r="G64" s="13" t="s">
        <v>595</v>
      </c>
      <c r="H64" s="13" t="n">
        <v>8</v>
      </c>
      <c r="I64" s="13" t="n">
        <f aca="false">ROUND(17.4*'Mode d''emploi'!$B$20/60,0)</f>
        <v>17</v>
      </c>
      <c r="J64" s="13" t="n">
        <v>1</v>
      </c>
      <c r="K64" s="13" t="n">
        <v>5</v>
      </c>
      <c r="L64" s="13" t="s">
        <v>59</v>
      </c>
      <c r="M64" s="13" t="s">
        <v>60</v>
      </c>
      <c r="N64" s="13" t="s">
        <v>1601</v>
      </c>
      <c r="O64" s="13" t="s">
        <v>1602</v>
      </c>
    </row>
    <row r="65" customFormat="false" ht="95.5" hidden="false" customHeight="false" outlineLevel="0" collapsed="false">
      <c r="A65" s="13" t="s">
        <v>1603</v>
      </c>
      <c r="B65" s="13" t="s">
        <v>1604</v>
      </c>
      <c r="C65" s="13" t="s">
        <v>1600</v>
      </c>
      <c r="D65" s="14"/>
      <c r="E65" s="14"/>
      <c r="F65" s="13" t="n">
        <v>1</v>
      </c>
      <c r="G65" s="13" t="s">
        <v>595</v>
      </c>
      <c r="H65" s="13" t="n">
        <v>9</v>
      </c>
      <c r="I65" s="13" t="n">
        <f aca="false">ROUND(16.6*'Mode d''emploi'!$B$20/60,0)</f>
        <v>17</v>
      </c>
      <c r="J65" s="13" t="n">
        <v>1</v>
      </c>
      <c r="K65" s="13" t="n">
        <v>5</v>
      </c>
      <c r="L65" s="13" t="s">
        <v>59</v>
      </c>
      <c r="M65" s="13" t="s">
        <v>60</v>
      </c>
      <c r="N65" s="13" t="s">
        <v>1605</v>
      </c>
      <c r="O65" s="13" t="s">
        <v>1606</v>
      </c>
    </row>
    <row r="66" customFormat="false" ht="22.35" hidden="false" customHeight="false" outlineLevel="0" collapsed="false">
      <c r="A66" s="13" t="s">
        <v>1607</v>
      </c>
      <c r="B66" s="13" t="s">
        <v>1608</v>
      </c>
      <c r="C66" s="13" t="s">
        <v>1600</v>
      </c>
      <c r="D66" s="14"/>
      <c r="E66" s="14"/>
      <c r="F66" s="13" t="n">
        <v>1</v>
      </c>
      <c r="G66" s="13"/>
      <c r="H66" s="13" t="n">
        <v>8</v>
      </c>
      <c r="I66" s="13" t="n">
        <f aca="false">ROUND(7.1*'Mode d''emploi'!$B$20/60,0)</f>
        <v>7</v>
      </c>
      <c r="J66" s="13" t="n">
        <v>1</v>
      </c>
      <c r="K66" s="13" t="n">
        <v>5</v>
      </c>
      <c r="L66" s="13" t="s">
        <v>59</v>
      </c>
      <c r="M66" s="13" t="s">
        <v>60</v>
      </c>
      <c r="N66" s="13" t="s">
        <v>1609</v>
      </c>
      <c r="O66" s="13" t="s">
        <v>1610</v>
      </c>
    </row>
    <row r="67" customFormat="false" ht="43.25" hidden="false" customHeight="false" outlineLevel="0" collapsed="false">
      <c r="A67" s="13" t="s">
        <v>1611</v>
      </c>
      <c r="B67" s="13" t="s">
        <v>1612</v>
      </c>
      <c r="C67" s="13" t="s">
        <v>1600</v>
      </c>
      <c r="D67" s="14"/>
      <c r="E67" s="14"/>
      <c r="F67" s="13" t="n">
        <v>1</v>
      </c>
      <c r="G67" s="13" t="s">
        <v>451</v>
      </c>
      <c r="H67" s="13" t="n">
        <v>5</v>
      </c>
      <c r="I67" s="13" t="n">
        <f aca="false">ROUND(11.4*'Mode d''emploi'!$B$20/60,0)</f>
        <v>11</v>
      </c>
      <c r="J67" s="13" t="n">
        <v>2</v>
      </c>
      <c r="K67" s="13" t="n">
        <v>10</v>
      </c>
      <c r="L67" s="13" t="s">
        <v>59</v>
      </c>
      <c r="M67" s="13" t="s">
        <v>60</v>
      </c>
      <c r="N67" s="13" t="s">
        <v>1613</v>
      </c>
      <c r="O67" s="13" t="s">
        <v>1614</v>
      </c>
    </row>
    <row r="68" customFormat="false" ht="32.8" hidden="false" customHeight="false" outlineLevel="0" collapsed="false">
      <c r="A68" s="13" t="s">
        <v>1615</v>
      </c>
      <c r="B68" s="13" t="s">
        <v>1616</v>
      </c>
      <c r="C68" s="13" t="s">
        <v>1600</v>
      </c>
      <c r="D68" s="14"/>
      <c r="E68" s="14"/>
      <c r="F68" s="13" t="n">
        <v>1</v>
      </c>
      <c r="G68" s="13"/>
      <c r="H68" s="13" t="n">
        <v>12</v>
      </c>
      <c r="I68" s="13" t="n">
        <f aca="false">ROUND(13.8*'Mode d''emploi'!$B$20/60,0)</f>
        <v>14</v>
      </c>
      <c r="J68" s="13" t="n">
        <v>1</v>
      </c>
      <c r="K68" s="13" t="n">
        <v>5</v>
      </c>
      <c r="L68" s="13" t="s">
        <v>59</v>
      </c>
      <c r="M68" s="13" t="s">
        <v>85</v>
      </c>
      <c r="N68" s="13" t="s">
        <v>1617</v>
      </c>
      <c r="O68" s="13" t="s">
        <v>1618</v>
      </c>
    </row>
    <row r="69" customFormat="false" ht="85.05" hidden="false" customHeight="false" outlineLevel="0" collapsed="false">
      <c r="A69" s="13" t="s">
        <v>1619</v>
      </c>
      <c r="B69" s="13" t="s">
        <v>1620</v>
      </c>
      <c r="C69" s="13" t="s">
        <v>1600</v>
      </c>
      <c r="D69" s="14"/>
      <c r="E69" s="14"/>
      <c r="F69" s="13" t="n">
        <v>1</v>
      </c>
      <c r="G69" s="13" t="s">
        <v>142</v>
      </c>
      <c r="H69" s="13" t="n">
        <v>8</v>
      </c>
      <c r="I69" s="13" t="n">
        <f aca="false">ROUND(16.7*'Mode d''emploi'!$B$20/60,0)</f>
        <v>17</v>
      </c>
      <c r="J69" s="13" t="n">
        <v>1</v>
      </c>
      <c r="K69" s="13" t="n">
        <v>5</v>
      </c>
      <c r="L69" s="13" t="s">
        <v>59</v>
      </c>
      <c r="M69" s="13" t="s">
        <v>60</v>
      </c>
      <c r="N69" s="13" t="s">
        <v>1621</v>
      </c>
      <c r="O69" s="13" t="s">
        <v>1622</v>
      </c>
    </row>
    <row r="70" customFormat="false" ht="22.35" hidden="false" customHeight="false" outlineLevel="0" collapsed="false">
      <c r="A70" s="13" t="s">
        <v>1623</v>
      </c>
      <c r="B70" s="13" t="s">
        <v>1624</v>
      </c>
      <c r="C70" s="13" t="s">
        <v>1600</v>
      </c>
      <c r="D70" s="14"/>
      <c r="E70" s="14"/>
      <c r="F70" s="13" t="n">
        <v>1</v>
      </c>
      <c r="G70" s="13"/>
      <c r="H70" s="13" t="n">
        <v>9</v>
      </c>
      <c r="I70" s="13" t="n">
        <f aca="false">ROUND(8.1*'Mode d''emploi'!$B$20/60,0)</f>
        <v>8</v>
      </c>
      <c r="J70" s="13" t="n">
        <v>1</v>
      </c>
      <c r="K70" s="13" t="n">
        <v>5</v>
      </c>
      <c r="L70" s="13" t="s">
        <v>59</v>
      </c>
      <c r="M70" s="13" t="s">
        <v>60</v>
      </c>
      <c r="N70" s="13" t="s">
        <v>1625</v>
      </c>
      <c r="O70" s="13" t="s">
        <v>1626</v>
      </c>
    </row>
    <row r="71" customFormat="false" ht="53.7" hidden="false" customHeight="false" outlineLevel="0" collapsed="false">
      <c r="A71" s="13" t="s">
        <v>1627</v>
      </c>
      <c r="B71" s="13" t="s">
        <v>1628</v>
      </c>
      <c r="C71" s="13" t="s">
        <v>1629</v>
      </c>
      <c r="D71" s="14"/>
      <c r="E71" s="14"/>
      <c r="F71" s="13" t="n">
        <v>1</v>
      </c>
      <c r="G71" s="13" t="s">
        <v>595</v>
      </c>
      <c r="H71" s="13" t="n">
        <v>3</v>
      </c>
      <c r="I71" s="13" t="n">
        <f aca="false">ROUND(6.7*'Mode d''emploi'!$B$20/60,0)</f>
        <v>7</v>
      </c>
      <c r="J71" s="13" t="n">
        <v>1</v>
      </c>
      <c r="K71" s="13" t="n">
        <v>5</v>
      </c>
      <c r="L71" s="13" t="s">
        <v>59</v>
      </c>
      <c r="M71" s="13" t="s">
        <v>60</v>
      </c>
      <c r="N71" s="13" t="s">
        <v>1630</v>
      </c>
      <c r="O71" s="13" t="s">
        <v>1631</v>
      </c>
    </row>
    <row r="72" customFormat="false" ht="32.8" hidden="false" customHeight="false" outlineLevel="0" collapsed="false">
      <c r="A72" s="13" t="s">
        <v>1632</v>
      </c>
      <c r="B72" s="13" t="s">
        <v>1633</v>
      </c>
      <c r="C72" s="13" t="s">
        <v>1629</v>
      </c>
      <c r="D72" s="14"/>
      <c r="E72" s="14"/>
      <c r="F72" s="13" t="n">
        <v>1</v>
      </c>
      <c r="G72" s="13" t="s">
        <v>595</v>
      </c>
      <c r="H72" s="13" t="n">
        <v>4</v>
      </c>
      <c r="I72" s="13" t="n">
        <f aca="false">ROUND(13.8*'Mode d''emploi'!$B$20/60,0)</f>
        <v>14</v>
      </c>
      <c r="J72" s="13" t="n">
        <v>2</v>
      </c>
      <c r="K72" s="13" t="n">
        <v>10</v>
      </c>
      <c r="L72" s="13" t="s">
        <v>59</v>
      </c>
      <c r="M72" s="13" t="s">
        <v>60</v>
      </c>
      <c r="N72" s="13" t="s">
        <v>1634</v>
      </c>
      <c r="O72" s="13" t="s">
        <v>1635</v>
      </c>
    </row>
    <row r="73" customFormat="false" ht="43.25" hidden="false" customHeight="false" outlineLevel="0" collapsed="false">
      <c r="A73" s="13" t="s">
        <v>1636</v>
      </c>
      <c r="B73" s="13" t="s">
        <v>1637</v>
      </c>
      <c r="C73" s="13" t="s">
        <v>1629</v>
      </c>
      <c r="D73" s="14"/>
      <c r="E73" s="14"/>
      <c r="F73" s="13" t="n">
        <v>1</v>
      </c>
      <c r="G73" s="13" t="s">
        <v>451</v>
      </c>
      <c r="H73" s="13" t="n">
        <v>5</v>
      </c>
      <c r="I73" s="13" t="n">
        <f aca="false">ROUND(10.5*'Mode d''emploi'!$B$20/60,0)</f>
        <v>11</v>
      </c>
      <c r="J73" s="13" t="n">
        <v>2</v>
      </c>
      <c r="K73" s="13" t="n">
        <v>10</v>
      </c>
      <c r="L73" s="13" t="s">
        <v>59</v>
      </c>
      <c r="M73" s="13" t="s">
        <v>60</v>
      </c>
      <c r="N73" s="13" t="s">
        <v>1638</v>
      </c>
      <c r="O73" s="13" t="s">
        <v>1639</v>
      </c>
    </row>
    <row r="74" customFormat="false" ht="43.25" hidden="false" customHeight="false" outlineLevel="0" collapsed="false">
      <c r="A74" s="13" t="s">
        <v>1640</v>
      </c>
      <c r="B74" s="13" t="s">
        <v>1641</v>
      </c>
      <c r="C74" s="13" t="s">
        <v>1629</v>
      </c>
      <c r="D74" s="14"/>
      <c r="E74" s="14"/>
      <c r="F74" s="13" t="n">
        <v>1</v>
      </c>
      <c r="G74" s="13" t="s">
        <v>57</v>
      </c>
      <c r="H74" s="13" t="n">
        <v>5</v>
      </c>
      <c r="I74" s="13" t="n">
        <f aca="false">ROUND(11.8*'Mode d''emploi'!$B$20/60,0)</f>
        <v>12</v>
      </c>
      <c r="J74" s="13" t="n">
        <v>2</v>
      </c>
      <c r="K74" s="13" t="n">
        <v>10</v>
      </c>
      <c r="L74" s="13" t="s">
        <v>59</v>
      </c>
      <c r="M74" s="13" t="s">
        <v>60</v>
      </c>
      <c r="N74" s="13" t="s">
        <v>1642</v>
      </c>
      <c r="O74" s="13" t="s">
        <v>1643</v>
      </c>
    </row>
    <row r="75" customFormat="false" ht="53.7" hidden="false" customHeight="false" outlineLevel="0" collapsed="false">
      <c r="A75" s="13" t="s">
        <v>1644</v>
      </c>
      <c r="B75" s="13" t="s">
        <v>1645</v>
      </c>
      <c r="C75" s="13" t="s">
        <v>1629</v>
      </c>
      <c r="D75" s="14"/>
      <c r="E75" s="14"/>
      <c r="F75" s="13" t="n">
        <v>1</v>
      </c>
      <c r="G75" s="13" t="s">
        <v>428</v>
      </c>
      <c r="H75" s="13" t="n">
        <v>4</v>
      </c>
      <c r="I75" s="13" t="n">
        <f aca="false">ROUND(8.9*'Mode d''emploi'!$B$20/60,0)</f>
        <v>9</v>
      </c>
      <c r="J75" s="13" t="n">
        <v>1</v>
      </c>
      <c r="K75" s="13" t="n">
        <v>5</v>
      </c>
      <c r="L75" s="13" t="s">
        <v>59</v>
      </c>
      <c r="M75" s="13" t="s">
        <v>60</v>
      </c>
      <c r="N75" s="13" t="s">
        <v>1646</v>
      </c>
      <c r="O75" s="13" t="s">
        <v>1647</v>
      </c>
    </row>
    <row r="76" customFormat="false" ht="15" hidden="false" customHeight="false" outlineLevel="0" collapsed="false">
      <c r="A76" s="13" t="s">
        <v>1648</v>
      </c>
      <c r="B76" s="13" t="s">
        <v>1649</v>
      </c>
      <c r="C76" s="13" t="s">
        <v>1629</v>
      </c>
      <c r="D76" s="14"/>
      <c r="E76" s="14"/>
      <c r="F76" s="13" t="n">
        <v>1</v>
      </c>
      <c r="G76" s="13"/>
      <c r="H76" s="13" t="n">
        <v>3</v>
      </c>
      <c r="I76" s="13" t="n">
        <f aca="false">ROUND(3*'Mode d''emploi'!$B$20/60,0)</f>
        <v>3</v>
      </c>
      <c r="J76" s="13" t="n">
        <v>1</v>
      </c>
      <c r="K76" s="13" t="n">
        <v>0</v>
      </c>
      <c r="L76" s="13" t="s">
        <v>59</v>
      </c>
      <c r="M76" s="13" t="s">
        <v>60</v>
      </c>
      <c r="N76" s="13" t="s">
        <v>1650</v>
      </c>
      <c r="O76" s="13" t="s">
        <v>1651</v>
      </c>
    </row>
  </sheetData>
  <autoFilter ref="A1:O76"/>
  <dataValidations count="1">
    <dataValidation allowBlank="true" errorStyle="stop" operator="between" showDropDown="false" showErrorMessage="false" showInputMessage="false" sqref="D2:D76" type="list">
      <formula1>"oui,non,à revoir"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9"/>
    <col collapsed="false" customWidth="true" hidden="false" outlineLevel="0" max="4" min="4" style="0" width="22"/>
    <col collapsed="false" customWidth="true" hidden="false" outlineLevel="0" max="5" min="5" style="0" width="38"/>
    <col collapsed="false" customWidth="true" hidden="false" outlineLevel="0" max="6" min="6" style="0" width="10"/>
  </cols>
  <sheetData>
    <row r="1" customFormat="false" ht="31.5" hidden="false" customHeight="true" outlineLevel="0" collapsed="false">
      <c r="A1" s="11" t="s">
        <v>1652</v>
      </c>
      <c r="B1" s="11" t="s">
        <v>1653</v>
      </c>
      <c r="C1" s="11" t="s">
        <v>1654</v>
      </c>
      <c r="D1" s="11" t="s">
        <v>1655</v>
      </c>
      <c r="E1" s="11" t="s">
        <v>1411</v>
      </c>
      <c r="F1" s="11" t="s">
        <v>1414</v>
      </c>
    </row>
    <row r="2" customFormat="false" ht="15" hidden="false" customHeight="false" outlineLevel="0" collapsed="false">
      <c r="A2" s="13" t="s">
        <v>1656</v>
      </c>
      <c r="B2" s="13" t="n">
        <v>1</v>
      </c>
      <c r="C2" s="13" t="n">
        <v>1</v>
      </c>
      <c r="D2" s="13" t="s">
        <v>1454</v>
      </c>
      <c r="E2" s="13" t="s">
        <v>1455</v>
      </c>
      <c r="F2" s="13" t="n">
        <v>11</v>
      </c>
    </row>
    <row r="3" customFormat="false" ht="15" hidden="false" customHeight="false" outlineLevel="0" collapsed="false">
      <c r="A3" s="13" t="s">
        <v>1656</v>
      </c>
      <c r="B3" s="13" t="n">
        <v>2</v>
      </c>
      <c r="C3" s="13" t="n">
        <v>1</v>
      </c>
      <c r="D3" s="13" t="s">
        <v>1458</v>
      </c>
      <c r="E3" s="13" t="s">
        <v>1459</v>
      </c>
      <c r="F3" s="13" t="n">
        <v>9</v>
      </c>
    </row>
    <row r="4" customFormat="false" ht="15" hidden="false" customHeight="false" outlineLevel="0" collapsed="false">
      <c r="A4" s="13" t="s">
        <v>1656</v>
      </c>
      <c r="B4" s="13" t="n">
        <v>3</v>
      </c>
      <c r="C4" s="13" t="n">
        <v>1</v>
      </c>
      <c r="D4" s="13" t="s">
        <v>1421</v>
      </c>
      <c r="E4" s="13" t="s">
        <v>1422</v>
      </c>
      <c r="F4" s="13" t="n">
        <v>5</v>
      </c>
    </row>
    <row r="5" customFormat="false" ht="15" hidden="false" customHeight="false" outlineLevel="0" collapsed="false">
      <c r="A5" s="13" t="s">
        <v>1656</v>
      </c>
      <c r="B5" s="13" t="n">
        <v>4</v>
      </c>
      <c r="C5" s="13" t="n">
        <v>1</v>
      </c>
      <c r="D5" s="13" t="s">
        <v>1462</v>
      </c>
      <c r="E5" s="13" t="s">
        <v>1463</v>
      </c>
      <c r="F5" s="13" t="n">
        <v>8</v>
      </c>
    </row>
    <row r="6" customFormat="false" ht="15" hidden="false" customHeight="false" outlineLevel="0" collapsed="false">
      <c r="A6" s="13" t="s">
        <v>1656</v>
      </c>
      <c r="B6" s="13" t="n">
        <v>5</v>
      </c>
      <c r="C6" s="13" t="n">
        <v>1</v>
      </c>
      <c r="D6" s="13" t="s">
        <v>1454</v>
      </c>
      <c r="E6" s="13" t="s">
        <v>1455</v>
      </c>
      <c r="F6" s="13" t="n">
        <v>11</v>
      </c>
    </row>
    <row r="7" customFormat="false" ht="15" hidden="false" customHeight="false" outlineLevel="0" collapsed="false">
      <c r="A7" s="13" t="s">
        <v>1656</v>
      </c>
      <c r="B7" s="13" t="n">
        <v>6</v>
      </c>
      <c r="C7" s="13" t="n">
        <v>1</v>
      </c>
      <c r="D7" s="13" t="s">
        <v>1458</v>
      </c>
      <c r="E7" s="13" t="s">
        <v>1459</v>
      </c>
      <c r="F7" s="13" t="n">
        <v>9</v>
      </c>
    </row>
    <row r="8" customFormat="false" ht="15" hidden="false" customHeight="false" outlineLevel="0" collapsed="false">
      <c r="A8" s="13" t="s">
        <v>1656</v>
      </c>
      <c r="B8" s="13" t="n">
        <v>7</v>
      </c>
      <c r="C8" s="13" t="n">
        <v>1</v>
      </c>
      <c r="D8" s="13" t="s">
        <v>1438</v>
      </c>
      <c r="E8" s="13" t="s">
        <v>1439</v>
      </c>
      <c r="F8" s="13" t="n">
        <v>7</v>
      </c>
    </row>
    <row r="9" customFormat="false" ht="15" hidden="false" customHeight="false" outlineLevel="0" collapsed="false">
      <c r="A9" s="13" t="s">
        <v>1656</v>
      </c>
      <c r="B9" s="13" t="n">
        <v>8</v>
      </c>
      <c r="C9" s="13" t="n">
        <v>2</v>
      </c>
      <c r="D9" s="13" t="s">
        <v>1465</v>
      </c>
      <c r="E9" s="13" t="s">
        <v>1455</v>
      </c>
      <c r="F9" s="13" t="n">
        <v>14</v>
      </c>
    </row>
    <row r="10" customFormat="false" ht="15" hidden="false" customHeight="false" outlineLevel="0" collapsed="false">
      <c r="A10" s="13" t="s">
        <v>1656</v>
      </c>
      <c r="B10" s="13" t="n">
        <v>9</v>
      </c>
      <c r="C10" s="13" t="n">
        <v>2</v>
      </c>
      <c r="D10" s="13" t="s">
        <v>1467</v>
      </c>
      <c r="E10" s="13" t="s">
        <v>1459</v>
      </c>
      <c r="F10" s="13" t="n">
        <v>14</v>
      </c>
    </row>
    <row r="11" customFormat="false" ht="15" hidden="false" customHeight="false" outlineLevel="0" collapsed="false">
      <c r="A11" s="13" t="s">
        <v>1656</v>
      </c>
      <c r="B11" s="13" t="n">
        <v>10</v>
      </c>
      <c r="C11" s="13" t="n">
        <v>2</v>
      </c>
      <c r="D11" s="13" t="s">
        <v>1426</v>
      </c>
      <c r="E11" s="13" t="s">
        <v>1427</v>
      </c>
      <c r="F11" s="13" t="n">
        <v>6</v>
      </c>
    </row>
    <row r="12" customFormat="false" ht="15" hidden="false" customHeight="false" outlineLevel="0" collapsed="false">
      <c r="A12" s="13" t="s">
        <v>1656</v>
      </c>
      <c r="B12" s="13" t="n">
        <v>11</v>
      </c>
      <c r="C12" s="13" t="n">
        <v>2</v>
      </c>
      <c r="D12" s="13" t="s">
        <v>1469</v>
      </c>
      <c r="E12" s="13" t="s">
        <v>1470</v>
      </c>
      <c r="F12" s="13" t="n">
        <v>14</v>
      </c>
    </row>
    <row r="13" customFormat="false" ht="15" hidden="false" customHeight="false" outlineLevel="0" collapsed="false">
      <c r="A13" s="13" t="s">
        <v>1656</v>
      </c>
      <c r="B13" s="13" t="n">
        <v>12</v>
      </c>
      <c r="C13" s="13" t="n">
        <v>2</v>
      </c>
      <c r="D13" s="13" t="s">
        <v>1465</v>
      </c>
      <c r="E13" s="13" t="s">
        <v>1455</v>
      </c>
      <c r="F13" s="13" t="n">
        <v>14</v>
      </c>
    </row>
    <row r="14" customFormat="false" ht="15" hidden="false" customHeight="false" outlineLevel="0" collapsed="false">
      <c r="A14" s="13" t="s">
        <v>1656</v>
      </c>
      <c r="B14" s="13" t="n">
        <v>13</v>
      </c>
      <c r="C14" s="13" t="n">
        <v>2</v>
      </c>
      <c r="D14" s="13" t="s">
        <v>1467</v>
      </c>
      <c r="E14" s="13" t="s">
        <v>1459</v>
      </c>
      <c r="F14" s="13" t="n">
        <v>14</v>
      </c>
    </row>
    <row r="15" customFormat="false" ht="15" hidden="false" customHeight="false" outlineLevel="0" collapsed="false">
      <c r="A15" s="13" t="s">
        <v>1656</v>
      </c>
      <c r="B15" s="13" t="n">
        <v>14</v>
      </c>
      <c r="C15" s="13" t="n">
        <v>2</v>
      </c>
      <c r="D15" s="13" t="s">
        <v>1442</v>
      </c>
      <c r="E15" s="13" t="s">
        <v>1443</v>
      </c>
      <c r="F15" s="13" t="n">
        <v>9</v>
      </c>
    </row>
    <row r="16" customFormat="false" ht="15" hidden="false" customHeight="false" outlineLevel="0" collapsed="false">
      <c r="A16" s="13" t="s">
        <v>1656</v>
      </c>
      <c r="B16" s="13" t="n">
        <v>15</v>
      </c>
      <c r="C16" s="13" t="n">
        <v>3</v>
      </c>
      <c r="D16" s="13" t="s">
        <v>1472</v>
      </c>
      <c r="E16" s="13" t="s">
        <v>1455</v>
      </c>
      <c r="F16" s="13" t="n">
        <v>20</v>
      </c>
    </row>
    <row r="17" customFormat="false" ht="15" hidden="false" customHeight="false" outlineLevel="0" collapsed="false">
      <c r="A17" s="13" t="s">
        <v>1656</v>
      </c>
      <c r="B17" s="13" t="n">
        <v>16</v>
      </c>
      <c r="C17" s="13" t="n">
        <v>3</v>
      </c>
      <c r="D17" s="13" t="s">
        <v>1474</v>
      </c>
      <c r="E17" s="13" t="s">
        <v>1459</v>
      </c>
      <c r="F17" s="13" t="n">
        <v>18</v>
      </c>
    </row>
    <row r="18" customFormat="false" ht="15" hidden="false" customHeight="false" outlineLevel="0" collapsed="false">
      <c r="A18" s="13" t="s">
        <v>1656</v>
      </c>
      <c r="B18" s="13" t="n">
        <v>17</v>
      </c>
      <c r="C18" s="13" t="n">
        <v>3</v>
      </c>
      <c r="D18" s="13" t="s">
        <v>1430</v>
      </c>
      <c r="E18" s="13" t="s">
        <v>1431</v>
      </c>
      <c r="F18" s="13" t="n">
        <v>7</v>
      </c>
    </row>
    <row r="19" customFormat="false" ht="15" hidden="false" customHeight="false" outlineLevel="0" collapsed="false">
      <c r="A19" s="13" t="s">
        <v>1656</v>
      </c>
      <c r="B19" s="13" t="n">
        <v>18</v>
      </c>
      <c r="C19" s="13" t="n">
        <v>3</v>
      </c>
      <c r="D19" s="13" t="s">
        <v>1476</v>
      </c>
      <c r="E19" s="13" t="s">
        <v>1470</v>
      </c>
      <c r="F19" s="13" t="n">
        <v>20</v>
      </c>
    </row>
    <row r="20" customFormat="false" ht="15" hidden="false" customHeight="false" outlineLevel="0" collapsed="false">
      <c r="A20" s="13" t="s">
        <v>1656</v>
      </c>
      <c r="B20" s="13" t="n">
        <v>19</v>
      </c>
      <c r="C20" s="13" t="n">
        <v>3</v>
      </c>
      <c r="D20" s="13" t="s">
        <v>1472</v>
      </c>
      <c r="E20" s="13" t="s">
        <v>1455</v>
      </c>
      <c r="F20" s="13" t="n">
        <v>20</v>
      </c>
    </row>
    <row r="21" customFormat="false" ht="15" hidden="false" customHeight="false" outlineLevel="0" collapsed="false">
      <c r="A21" s="13" t="s">
        <v>1656</v>
      </c>
      <c r="B21" s="13" t="n">
        <v>20</v>
      </c>
      <c r="C21" s="13" t="n">
        <v>3</v>
      </c>
      <c r="D21" s="13" t="s">
        <v>1474</v>
      </c>
      <c r="E21" s="13" t="s">
        <v>1459</v>
      </c>
      <c r="F21" s="13" t="n">
        <v>18</v>
      </c>
    </row>
    <row r="22" customFormat="false" ht="15" hidden="false" customHeight="false" outlineLevel="0" collapsed="false">
      <c r="A22" s="13" t="s">
        <v>1656</v>
      </c>
      <c r="B22" s="13" t="n">
        <v>21</v>
      </c>
      <c r="C22" s="13" t="n">
        <v>3</v>
      </c>
      <c r="D22" s="13" t="s">
        <v>1446</v>
      </c>
      <c r="E22" s="13" t="s">
        <v>1447</v>
      </c>
      <c r="F22" s="13" t="n">
        <v>9</v>
      </c>
    </row>
    <row r="23" customFormat="false" ht="15" hidden="false" customHeight="false" outlineLevel="0" collapsed="false">
      <c r="A23" s="13" t="s">
        <v>1656</v>
      </c>
      <c r="B23" s="13" t="n">
        <v>22</v>
      </c>
      <c r="C23" s="13" t="n">
        <v>4</v>
      </c>
      <c r="D23" s="13" t="s">
        <v>1478</v>
      </c>
      <c r="E23" s="13" t="s">
        <v>1455</v>
      </c>
      <c r="F23" s="13" t="n">
        <v>24</v>
      </c>
    </row>
    <row r="24" customFormat="false" ht="15" hidden="false" customHeight="false" outlineLevel="0" collapsed="false">
      <c r="A24" s="13" t="s">
        <v>1656</v>
      </c>
      <c r="B24" s="13" t="n">
        <v>23</v>
      </c>
      <c r="C24" s="13" t="n">
        <v>4</v>
      </c>
      <c r="D24" s="13" t="s">
        <v>1480</v>
      </c>
      <c r="E24" s="13" t="s">
        <v>1459</v>
      </c>
      <c r="F24" s="13" t="n">
        <v>26</v>
      </c>
    </row>
    <row r="25" customFormat="false" ht="15" hidden="false" customHeight="false" outlineLevel="0" collapsed="false">
      <c r="A25" s="13" t="s">
        <v>1656</v>
      </c>
      <c r="B25" s="13" t="n">
        <v>24</v>
      </c>
      <c r="C25" s="13" t="n">
        <v>4</v>
      </c>
      <c r="D25" s="13" t="s">
        <v>1434</v>
      </c>
      <c r="E25" s="13" t="s">
        <v>1435</v>
      </c>
      <c r="F25" s="13" t="n">
        <v>9</v>
      </c>
    </row>
    <row r="26" customFormat="false" ht="15" hidden="false" customHeight="false" outlineLevel="0" collapsed="false">
      <c r="A26" s="13" t="s">
        <v>1656</v>
      </c>
      <c r="B26" s="13" t="n">
        <v>25</v>
      </c>
      <c r="C26" s="13" t="n">
        <v>4</v>
      </c>
      <c r="D26" s="13" t="s">
        <v>1482</v>
      </c>
      <c r="E26" s="13" t="s">
        <v>1470</v>
      </c>
      <c r="F26" s="13" t="n">
        <v>23</v>
      </c>
    </row>
    <row r="27" customFormat="false" ht="15" hidden="false" customHeight="false" outlineLevel="0" collapsed="false">
      <c r="A27" s="13" t="s">
        <v>1656</v>
      </c>
      <c r="B27" s="13" t="n">
        <v>26</v>
      </c>
      <c r="C27" s="13" t="n">
        <v>4</v>
      </c>
      <c r="D27" s="13" t="s">
        <v>1478</v>
      </c>
      <c r="E27" s="13" t="s">
        <v>1455</v>
      </c>
      <c r="F27" s="13" t="n">
        <v>24</v>
      </c>
    </row>
    <row r="28" customFormat="false" ht="15" hidden="false" customHeight="false" outlineLevel="0" collapsed="false">
      <c r="A28" s="13" t="s">
        <v>1656</v>
      </c>
      <c r="B28" s="13" t="n">
        <v>27</v>
      </c>
      <c r="C28" s="13" t="n">
        <v>4</v>
      </c>
      <c r="D28" s="13" t="s">
        <v>1480</v>
      </c>
      <c r="E28" s="13" t="s">
        <v>1459</v>
      </c>
      <c r="F28" s="13" t="n">
        <v>26</v>
      </c>
    </row>
    <row r="29" customFormat="false" ht="15" hidden="false" customHeight="false" outlineLevel="0" collapsed="false">
      <c r="A29" s="13" t="s">
        <v>1656</v>
      </c>
      <c r="B29" s="13" t="n">
        <v>28</v>
      </c>
      <c r="C29" s="13" t="n">
        <v>4</v>
      </c>
      <c r="D29" s="13" t="s">
        <v>1450</v>
      </c>
      <c r="E29" s="13" t="s">
        <v>1451</v>
      </c>
      <c r="F29" s="13" t="n">
        <v>10</v>
      </c>
    </row>
    <row r="30" customFormat="false" ht="15" hidden="false" customHeight="false" outlineLevel="0" collapsed="false">
      <c r="A30" s="13" t="s">
        <v>1657</v>
      </c>
      <c r="B30" s="13" t="n">
        <v>1</v>
      </c>
      <c r="C30" s="13" t="n">
        <v>1</v>
      </c>
      <c r="D30" s="13" t="s">
        <v>1484</v>
      </c>
      <c r="E30" s="13" t="s">
        <v>1485</v>
      </c>
      <c r="F30" s="13" t="n">
        <v>12</v>
      </c>
    </row>
    <row r="31" customFormat="false" ht="15" hidden="false" customHeight="false" outlineLevel="0" collapsed="false">
      <c r="A31" s="13" t="s">
        <v>1657</v>
      </c>
      <c r="B31" s="13" t="n">
        <v>2</v>
      </c>
      <c r="C31" s="13" t="n">
        <v>1</v>
      </c>
      <c r="D31" s="13" t="s">
        <v>1487</v>
      </c>
      <c r="E31" s="13" t="s">
        <v>1488</v>
      </c>
      <c r="F31" s="13" t="n">
        <v>11</v>
      </c>
    </row>
    <row r="32" customFormat="false" ht="15" hidden="false" customHeight="false" outlineLevel="0" collapsed="false">
      <c r="A32" s="13" t="s">
        <v>1657</v>
      </c>
      <c r="B32" s="13" t="n">
        <v>3</v>
      </c>
      <c r="C32" s="13" t="n">
        <v>1</v>
      </c>
      <c r="D32" s="13" t="s">
        <v>1421</v>
      </c>
      <c r="E32" s="13" t="s">
        <v>1422</v>
      </c>
      <c r="F32" s="13" t="n">
        <v>5</v>
      </c>
    </row>
    <row r="33" customFormat="false" ht="15" hidden="false" customHeight="false" outlineLevel="0" collapsed="false">
      <c r="A33" s="13" t="s">
        <v>1657</v>
      </c>
      <c r="B33" s="13" t="n">
        <v>4</v>
      </c>
      <c r="C33" s="13" t="n">
        <v>1</v>
      </c>
      <c r="D33" s="13" t="s">
        <v>1490</v>
      </c>
      <c r="E33" s="13" t="s">
        <v>1491</v>
      </c>
      <c r="F33" s="13" t="n">
        <v>9</v>
      </c>
    </row>
    <row r="34" customFormat="false" ht="15" hidden="false" customHeight="false" outlineLevel="0" collapsed="false">
      <c r="A34" s="13" t="s">
        <v>1657</v>
      </c>
      <c r="B34" s="13" t="n">
        <v>5</v>
      </c>
      <c r="C34" s="13" t="n">
        <v>1</v>
      </c>
      <c r="D34" s="13" t="s">
        <v>1484</v>
      </c>
      <c r="E34" s="13" t="s">
        <v>1485</v>
      </c>
      <c r="F34" s="13" t="n">
        <v>12</v>
      </c>
    </row>
    <row r="35" customFormat="false" ht="15" hidden="false" customHeight="false" outlineLevel="0" collapsed="false">
      <c r="A35" s="13" t="s">
        <v>1657</v>
      </c>
      <c r="B35" s="13" t="n">
        <v>6</v>
      </c>
      <c r="C35" s="13" t="n">
        <v>1</v>
      </c>
      <c r="D35" s="13" t="s">
        <v>1487</v>
      </c>
      <c r="E35" s="13" t="s">
        <v>1488</v>
      </c>
      <c r="F35" s="13" t="n">
        <v>11</v>
      </c>
    </row>
    <row r="36" customFormat="false" ht="15" hidden="false" customHeight="false" outlineLevel="0" collapsed="false">
      <c r="A36" s="13" t="s">
        <v>1657</v>
      </c>
      <c r="B36" s="13" t="n">
        <v>7</v>
      </c>
      <c r="C36" s="13" t="n">
        <v>1</v>
      </c>
      <c r="D36" s="13" t="s">
        <v>1438</v>
      </c>
      <c r="E36" s="13" t="s">
        <v>1439</v>
      </c>
      <c r="F36" s="13" t="n">
        <v>7</v>
      </c>
    </row>
    <row r="37" customFormat="false" ht="15" hidden="false" customHeight="false" outlineLevel="0" collapsed="false">
      <c r="A37" s="13" t="s">
        <v>1657</v>
      </c>
      <c r="B37" s="13" t="n">
        <v>8</v>
      </c>
      <c r="C37" s="13" t="n">
        <v>2</v>
      </c>
      <c r="D37" s="13" t="s">
        <v>1493</v>
      </c>
      <c r="E37" s="13" t="s">
        <v>1494</v>
      </c>
      <c r="F37" s="13" t="n">
        <v>15</v>
      </c>
    </row>
    <row r="38" customFormat="false" ht="15" hidden="false" customHeight="false" outlineLevel="0" collapsed="false">
      <c r="A38" s="13" t="s">
        <v>1657</v>
      </c>
      <c r="B38" s="13" t="n">
        <v>9</v>
      </c>
      <c r="C38" s="13" t="n">
        <v>2</v>
      </c>
      <c r="D38" s="13" t="s">
        <v>1496</v>
      </c>
      <c r="E38" s="13" t="s">
        <v>1488</v>
      </c>
      <c r="F38" s="13" t="n">
        <v>14</v>
      </c>
    </row>
    <row r="39" customFormat="false" ht="15" hidden="false" customHeight="false" outlineLevel="0" collapsed="false">
      <c r="A39" s="13" t="s">
        <v>1657</v>
      </c>
      <c r="B39" s="13" t="n">
        <v>10</v>
      </c>
      <c r="C39" s="13" t="n">
        <v>2</v>
      </c>
      <c r="D39" s="13" t="s">
        <v>1426</v>
      </c>
      <c r="E39" s="13" t="s">
        <v>1427</v>
      </c>
      <c r="F39" s="13" t="n">
        <v>6</v>
      </c>
    </row>
    <row r="40" customFormat="false" ht="15" hidden="false" customHeight="false" outlineLevel="0" collapsed="false">
      <c r="A40" s="13" t="s">
        <v>1657</v>
      </c>
      <c r="B40" s="13" t="n">
        <v>11</v>
      </c>
      <c r="C40" s="13" t="n">
        <v>2</v>
      </c>
      <c r="D40" s="13" t="s">
        <v>1498</v>
      </c>
      <c r="E40" s="13" t="s">
        <v>1499</v>
      </c>
      <c r="F40" s="13" t="n">
        <v>13</v>
      </c>
    </row>
    <row r="41" customFormat="false" ht="15" hidden="false" customHeight="false" outlineLevel="0" collapsed="false">
      <c r="A41" s="13" t="s">
        <v>1657</v>
      </c>
      <c r="B41" s="13" t="n">
        <v>12</v>
      </c>
      <c r="C41" s="13" t="n">
        <v>2</v>
      </c>
      <c r="D41" s="13" t="s">
        <v>1493</v>
      </c>
      <c r="E41" s="13" t="s">
        <v>1494</v>
      </c>
      <c r="F41" s="13" t="n">
        <v>15</v>
      </c>
    </row>
    <row r="42" customFormat="false" ht="15" hidden="false" customHeight="false" outlineLevel="0" collapsed="false">
      <c r="A42" s="13" t="s">
        <v>1657</v>
      </c>
      <c r="B42" s="13" t="n">
        <v>13</v>
      </c>
      <c r="C42" s="13" t="n">
        <v>2</v>
      </c>
      <c r="D42" s="13" t="s">
        <v>1496</v>
      </c>
      <c r="E42" s="13" t="s">
        <v>1488</v>
      </c>
      <c r="F42" s="13" t="n">
        <v>14</v>
      </c>
    </row>
    <row r="43" customFormat="false" ht="15" hidden="false" customHeight="false" outlineLevel="0" collapsed="false">
      <c r="A43" s="13" t="s">
        <v>1657</v>
      </c>
      <c r="B43" s="13" t="n">
        <v>14</v>
      </c>
      <c r="C43" s="13" t="n">
        <v>2</v>
      </c>
      <c r="D43" s="13" t="s">
        <v>1442</v>
      </c>
      <c r="E43" s="13" t="s">
        <v>1443</v>
      </c>
      <c r="F43" s="13" t="n">
        <v>9</v>
      </c>
    </row>
    <row r="44" customFormat="false" ht="15" hidden="false" customHeight="false" outlineLevel="0" collapsed="false">
      <c r="A44" s="13" t="s">
        <v>1657</v>
      </c>
      <c r="B44" s="13" t="n">
        <v>15</v>
      </c>
      <c r="C44" s="13" t="n">
        <v>3</v>
      </c>
      <c r="D44" s="13" t="s">
        <v>1501</v>
      </c>
      <c r="E44" s="13" t="s">
        <v>1502</v>
      </c>
      <c r="F44" s="13" t="n">
        <v>21</v>
      </c>
    </row>
    <row r="45" customFormat="false" ht="15" hidden="false" customHeight="false" outlineLevel="0" collapsed="false">
      <c r="A45" s="13" t="s">
        <v>1657</v>
      </c>
      <c r="B45" s="13" t="n">
        <v>16</v>
      </c>
      <c r="C45" s="13" t="n">
        <v>3</v>
      </c>
      <c r="D45" s="13" t="s">
        <v>1504</v>
      </c>
      <c r="E45" s="13" t="s">
        <v>1488</v>
      </c>
      <c r="F45" s="13" t="n">
        <v>19</v>
      </c>
    </row>
    <row r="46" customFormat="false" ht="15" hidden="false" customHeight="false" outlineLevel="0" collapsed="false">
      <c r="A46" s="13" t="s">
        <v>1657</v>
      </c>
      <c r="B46" s="13" t="n">
        <v>17</v>
      </c>
      <c r="C46" s="13" t="n">
        <v>3</v>
      </c>
      <c r="D46" s="13" t="s">
        <v>1430</v>
      </c>
      <c r="E46" s="13" t="s">
        <v>1431</v>
      </c>
      <c r="F46" s="13" t="n">
        <v>7</v>
      </c>
    </row>
    <row r="47" customFormat="false" ht="15" hidden="false" customHeight="false" outlineLevel="0" collapsed="false">
      <c r="A47" s="13" t="s">
        <v>1657</v>
      </c>
      <c r="B47" s="13" t="n">
        <v>18</v>
      </c>
      <c r="C47" s="13" t="n">
        <v>3</v>
      </c>
      <c r="D47" s="13" t="s">
        <v>1506</v>
      </c>
      <c r="E47" s="13" t="s">
        <v>1499</v>
      </c>
      <c r="F47" s="13" t="n">
        <v>18</v>
      </c>
    </row>
    <row r="48" customFormat="false" ht="15" hidden="false" customHeight="false" outlineLevel="0" collapsed="false">
      <c r="A48" s="13" t="s">
        <v>1657</v>
      </c>
      <c r="B48" s="13" t="n">
        <v>19</v>
      </c>
      <c r="C48" s="13" t="n">
        <v>3</v>
      </c>
      <c r="D48" s="13" t="s">
        <v>1501</v>
      </c>
      <c r="E48" s="13" t="s">
        <v>1502</v>
      </c>
      <c r="F48" s="13" t="n">
        <v>21</v>
      </c>
    </row>
    <row r="49" customFormat="false" ht="15" hidden="false" customHeight="false" outlineLevel="0" collapsed="false">
      <c r="A49" s="13" t="s">
        <v>1657</v>
      </c>
      <c r="B49" s="13" t="n">
        <v>20</v>
      </c>
      <c r="C49" s="13" t="n">
        <v>3</v>
      </c>
      <c r="D49" s="13" t="s">
        <v>1504</v>
      </c>
      <c r="E49" s="13" t="s">
        <v>1488</v>
      </c>
      <c r="F49" s="13" t="n">
        <v>19</v>
      </c>
    </row>
    <row r="50" customFormat="false" ht="15" hidden="false" customHeight="false" outlineLevel="0" collapsed="false">
      <c r="A50" s="13" t="s">
        <v>1657</v>
      </c>
      <c r="B50" s="13" t="n">
        <v>21</v>
      </c>
      <c r="C50" s="13" t="n">
        <v>3</v>
      </c>
      <c r="D50" s="13" t="s">
        <v>1446</v>
      </c>
      <c r="E50" s="13" t="s">
        <v>1447</v>
      </c>
      <c r="F50" s="13" t="n">
        <v>9</v>
      </c>
    </row>
    <row r="51" customFormat="false" ht="15" hidden="false" customHeight="false" outlineLevel="0" collapsed="false">
      <c r="A51" s="13" t="s">
        <v>1657</v>
      </c>
      <c r="B51" s="13" t="n">
        <v>22</v>
      </c>
      <c r="C51" s="13" t="n">
        <v>4</v>
      </c>
      <c r="D51" s="13" t="s">
        <v>1508</v>
      </c>
      <c r="E51" s="13" t="s">
        <v>1502</v>
      </c>
      <c r="F51" s="13" t="n">
        <v>25</v>
      </c>
    </row>
    <row r="52" customFormat="false" ht="15" hidden="false" customHeight="false" outlineLevel="0" collapsed="false">
      <c r="A52" s="13" t="s">
        <v>1657</v>
      </c>
      <c r="B52" s="13" t="n">
        <v>23</v>
      </c>
      <c r="C52" s="13" t="n">
        <v>4</v>
      </c>
      <c r="D52" s="13" t="s">
        <v>1510</v>
      </c>
      <c r="E52" s="13" t="s">
        <v>1488</v>
      </c>
      <c r="F52" s="13" t="n">
        <v>25</v>
      </c>
    </row>
    <row r="53" customFormat="false" ht="15" hidden="false" customHeight="false" outlineLevel="0" collapsed="false">
      <c r="A53" s="13" t="s">
        <v>1657</v>
      </c>
      <c r="B53" s="13" t="n">
        <v>24</v>
      </c>
      <c r="C53" s="13" t="n">
        <v>4</v>
      </c>
      <c r="D53" s="13" t="s">
        <v>1434</v>
      </c>
      <c r="E53" s="13" t="s">
        <v>1435</v>
      </c>
      <c r="F53" s="13" t="n">
        <v>9</v>
      </c>
    </row>
    <row r="54" customFormat="false" ht="15" hidden="false" customHeight="false" outlineLevel="0" collapsed="false">
      <c r="A54" s="13" t="s">
        <v>1657</v>
      </c>
      <c r="B54" s="13" t="n">
        <v>25</v>
      </c>
      <c r="C54" s="13" t="n">
        <v>4</v>
      </c>
      <c r="D54" s="13" t="s">
        <v>1512</v>
      </c>
      <c r="E54" s="13" t="s">
        <v>1499</v>
      </c>
      <c r="F54" s="13" t="n">
        <v>25</v>
      </c>
    </row>
    <row r="55" customFormat="false" ht="15" hidden="false" customHeight="false" outlineLevel="0" collapsed="false">
      <c r="A55" s="13" t="s">
        <v>1657</v>
      </c>
      <c r="B55" s="13" t="n">
        <v>26</v>
      </c>
      <c r="C55" s="13" t="n">
        <v>4</v>
      </c>
      <c r="D55" s="13" t="s">
        <v>1508</v>
      </c>
      <c r="E55" s="13" t="s">
        <v>1502</v>
      </c>
      <c r="F55" s="13" t="n">
        <v>25</v>
      </c>
    </row>
    <row r="56" customFormat="false" ht="15" hidden="false" customHeight="false" outlineLevel="0" collapsed="false">
      <c r="A56" s="13" t="s">
        <v>1657</v>
      </c>
      <c r="B56" s="13" t="n">
        <v>27</v>
      </c>
      <c r="C56" s="13" t="n">
        <v>4</v>
      </c>
      <c r="D56" s="13" t="s">
        <v>1510</v>
      </c>
      <c r="E56" s="13" t="s">
        <v>1488</v>
      </c>
      <c r="F56" s="13" t="n">
        <v>25</v>
      </c>
    </row>
    <row r="57" customFormat="false" ht="15" hidden="false" customHeight="false" outlineLevel="0" collapsed="false">
      <c r="A57" s="13" t="s">
        <v>1657</v>
      </c>
      <c r="B57" s="13" t="n">
        <v>28</v>
      </c>
      <c r="C57" s="13" t="n">
        <v>4</v>
      </c>
      <c r="D57" s="13" t="s">
        <v>1450</v>
      </c>
      <c r="E57" s="13" t="s">
        <v>1451</v>
      </c>
      <c r="F57" s="13" t="n">
        <v>10</v>
      </c>
    </row>
    <row r="58" customFormat="false" ht="15" hidden="false" customHeight="false" outlineLevel="0" collapsed="false">
      <c r="A58" s="13" t="s">
        <v>1658</v>
      </c>
      <c r="B58" s="13" t="n">
        <v>1</v>
      </c>
      <c r="C58" s="13" t="n">
        <v>1</v>
      </c>
      <c r="D58" s="13" t="s">
        <v>1514</v>
      </c>
      <c r="E58" s="13" t="s">
        <v>1515</v>
      </c>
      <c r="F58" s="13" t="n">
        <v>9</v>
      </c>
    </row>
    <row r="59" customFormat="false" ht="15" hidden="false" customHeight="false" outlineLevel="0" collapsed="false">
      <c r="A59" s="13" t="s">
        <v>1658</v>
      </c>
      <c r="B59" s="13" t="n">
        <v>2</v>
      </c>
      <c r="C59" s="13" t="n">
        <v>1</v>
      </c>
      <c r="D59" s="13" t="s">
        <v>1517</v>
      </c>
      <c r="E59" s="13" t="s">
        <v>1518</v>
      </c>
      <c r="F59" s="13" t="n">
        <v>9</v>
      </c>
    </row>
    <row r="60" customFormat="false" ht="15" hidden="false" customHeight="false" outlineLevel="0" collapsed="false">
      <c r="A60" s="13" t="s">
        <v>1658</v>
      </c>
      <c r="B60" s="13" t="n">
        <v>3</v>
      </c>
      <c r="C60" s="13" t="n">
        <v>1</v>
      </c>
      <c r="D60" s="13" t="s">
        <v>1421</v>
      </c>
      <c r="E60" s="13" t="s">
        <v>1422</v>
      </c>
      <c r="F60" s="13" t="n">
        <v>5</v>
      </c>
    </row>
    <row r="61" customFormat="false" ht="15" hidden="false" customHeight="false" outlineLevel="0" collapsed="false">
      <c r="A61" s="13" t="s">
        <v>1658</v>
      </c>
      <c r="B61" s="13" t="n">
        <v>4</v>
      </c>
      <c r="C61" s="13" t="n">
        <v>1</v>
      </c>
      <c r="D61" s="13" t="s">
        <v>1521</v>
      </c>
      <c r="E61" s="13" t="s">
        <v>1522</v>
      </c>
      <c r="F61" s="13" t="n">
        <v>11</v>
      </c>
    </row>
    <row r="62" customFormat="false" ht="15" hidden="false" customHeight="false" outlineLevel="0" collapsed="false">
      <c r="A62" s="13" t="s">
        <v>1658</v>
      </c>
      <c r="B62" s="13" t="n">
        <v>5</v>
      </c>
      <c r="C62" s="13" t="n">
        <v>1</v>
      </c>
      <c r="D62" s="13" t="s">
        <v>1514</v>
      </c>
      <c r="E62" s="13" t="s">
        <v>1515</v>
      </c>
      <c r="F62" s="13" t="n">
        <v>9</v>
      </c>
    </row>
    <row r="63" customFormat="false" ht="15" hidden="false" customHeight="false" outlineLevel="0" collapsed="false">
      <c r="A63" s="13" t="s">
        <v>1658</v>
      </c>
      <c r="B63" s="13" t="n">
        <v>6</v>
      </c>
      <c r="C63" s="13" t="n">
        <v>1</v>
      </c>
      <c r="D63" s="13" t="s">
        <v>1517</v>
      </c>
      <c r="E63" s="13" t="s">
        <v>1518</v>
      </c>
      <c r="F63" s="13" t="n">
        <v>9</v>
      </c>
    </row>
    <row r="64" customFormat="false" ht="15" hidden="false" customHeight="false" outlineLevel="0" collapsed="false">
      <c r="A64" s="13" t="s">
        <v>1658</v>
      </c>
      <c r="B64" s="13" t="n">
        <v>7</v>
      </c>
      <c r="C64" s="13" t="n">
        <v>1</v>
      </c>
      <c r="D64" s="13" t="s">
        <v>1438</v>
      </c>
      <c r="E64" s="13" t="s">
        <v>1439</v>
      </c>
      <c r="F64" s="13" t="n">
        <v>7</v>
      </c>
    </row>
    <row r="65" customFormat="false" ht="15" hidden="false" customHeight="false" outlineLevel="0" collapsed="false">
      <c r="A65" s="13" t="s">
        <v>1658</v>
      </c>
      <c r="B65" s="13" t="n">
        <v>8</v>
      </c>
      <c r="C65" s="13" t="n">
        <v>2</v>
      </c>
      <c r="D65" s="13" t="s">
        <v>1524</v>
      </c>
      <c r="E65" s="13" t="s">
        <v>1525</v>
      </c>
      <c r="F65" s="13" t="n">
        <v>14</v>
      </c>
    </row>
    <row r="66" customFormat="false" ht="15" hidden="false" customHeight="false" outlineLevel="0" collapsed="false">
      <c r="A66" s="13" t="s">
        <v>1658</v>
      </c>
      <c r="B66" s="13" t="n">
        <v>9</v>
      </c>
      <c r="C66" s="13" t="n">
        <v>2</v>
      </c>
      <c r="D66" s="13" t="s">
        <v>1527</v>
      </c>
      <c r="E66" s="13" t="s">
        <v>1518</v>
      </c>
      <c r="F66" s="13" t="n">
        <v>13</v>
      </c>
    </row>
    <row r="67" customFormat="false" ht="15" hidden="false" customHeight="false" outlineLevel="0" collapsed="false">
      <c r="A67" s="13" t="s">
        <v>1658</v>
      </c>
      <c r="B67" s="13" t="n">
        <v>10</v>
      </c>
      <c r="C67" s="13" t="n">
        <v>2</v>
      </c>
      <c r="D67" s="13" t="s">
        <v>1426</v>
      </c>
      <c r="E67" s="13" t="s">
        <v>1427</v>
      </c>
      <c r="F67" s="13" t="n">
        <v>6</v>
      </c>
    </row>
    <row r="68" customFormat="false" ht="15" hidden="false" customHeight="false" outlineLevel="0" collapsed="false">
      <c r="A68" s="13" t="s">
        <v>1658</v>
      </c>
      <c r="B68" s="13" t="n">
        <v>11</v>
      </c>
      <c r="C68" s="13" t="n">
        <v>2</v>
      </c>
      <c r="D68" s="13" t="s">
        <v>1529</v>
      </c>
      <c r="E68" s="13" t="s">
        <v>1522</v>
      </c>
      <c r="F68" s="13" t="n">
        <v>13</v>
      </c>
    </row>
    <row r="69" customFormat="false" ht="15" hidden="false" customHeight="false" outlineLevel="0" collapsed="false">
      <c r="A69" s="13" t="s">
        <v>1658</v>
      </c>
      <c r="B69" s="13" t="n">
        <v>12</v>
      </c>
      <c r="C69" s="13" t="n">
        <v>2</v>
      </c>
      <c r="D69" s="13" t="s">
        <v>1524</v>
      </c>
      <c r="E69" s="13" t="s">
        <v>1525</v>
      </c>
      <c r="F69" s="13" t="n">
        <v>14</v>
      </c>
    </row>
    <row r="70" customFormat="false" ht="15" hidden="false" customHeight="false" outlineLevel="0" collapsed="false">
      <c r="A70" s="13" t="s">
        <v>1658</v>
      </c>
      <c r="B70" s="13" t="n">
        <v>13</v>
      </c>
      <c r="C70" s="13" t="n">
        <v>2</v>
      </c>
      <c r="D70" s="13" t="s">
        <v>1527</v>
      </c>
      <c r="E70" s="13" t="s">
        <v>1518</v>
      </c>
      <c r="F70" s="13" t="n">
        <v>13</v>
      </c>
    </row>
    <row r="71" customFormat="false" ht="15" hidden="false" customHeight="false" outlineLevel="0" collapsed="false">
      <c r="A71" s="13" t="s">
        <v>1658</v>
      </c>
      <c r="B71" s="13" t="n">
        <v>14</v>
      </c>
      <c r="C71" s="13" t="n">
        <v>2</v>
      </c>
      <c r="D71" s="13" t="s">
        <v>1442</v>
      </c>
      <c r="E71" s="13" t="s">
        <v>1443</v>
      </c>
      <c r="F71" s="13" t="n">
        <v>9</v>
      </c>
    </row>
    <row r="72" customFormat="false" ht="15" hidden="false" customHeight="false" outlineLevel="0" collapsed="false">
      <c r="A72" s="13" t="s">
        <v>1658</v>
      </c>
      <c r="B72" s="13" t="n">
        <v>15</v>
      </c>
      <c r="C72" s="13" t="n">
        <v>3</v>
      </c>
      <c r="D72" s="13" t="s">
        <v>1531</v>
      </c>
      <c r="E72" s="13" t="s">
        <v>1525</v>
      </c>
      <c r="F72" s="13" t="n">
        <v>21</v>
      </c>
    </row>
    <row r="73" customFormat="false" ht="15" hidden="false" customHeight="false" outlineLevel="0" collapsed="false">
      <c r="A73" s="13" t="s">
        <v>1658</v>
      </c>
      <c r="B73" s="13" t="n">
        <v>16</v>
      </c>
      <c r="C73" s="13" t="n">
        <v>3</v>
      </c>
      <c r="D73" s="13" t="s">
        <v>1533</v>
      </c>
      <c r="E73" s="13" t="s">
        <v>1518</v>
      </c>
      <c r="F73" s="13" t="n">
        <v>21</v>
      </c>
    </row>
    <row r="74" customFormat="false" ht="15" hidden="false" customHeight="false" outlineLevel="0" collapsed="false">
      <c r="A74" s="13" t="s">
        <v>1658</v>
      </c>
      <c r="B74" s="13" t="n">
        <v>17</v>
      </c>
      <c r="C74" s="13" t="n">
        <v>3</v>
      </c>
      <c r="D74" s="13" t="s">
        <v>1430</v>
      </c>
      <c r="E74" s="13" t="s">
        <v>1431</v>
      </c>
      <c r="F74" s="13" t="n">
        <v>7</v>
      </c>
    </row>
    <row r="75" customFormat="false" ht="15" hidden="false" customHeight="false" outlineLevel="0" collapsed="false">
      <c r="A75" s="13" t="s">
        <v>1658</v>
      </c>
      <c r="B75" s="13" t="n">
        <v>18</v>
      </c>
      <c r="C75" s="13" t="n">
        <v>3</v>
      </c>
      <c r="D75" s="13" t="s">
        <v>1535</v>
      </c>
      <c r="E75" s="13" t="s">
        <v>1522</v>
      </c>
      <c r="F75" s="13" t="n">
        <v>18</v>
      </c>
    </row>
    <row r="76" customFormat="false" ht="15" hidden="false" customHeight="false" outlineLevel="0" collapsed="false">
      <c r="A76" s="13" t="s">
        <v>1658</v>
      </c>
      <c r="B76" s="13" t="n">
        <v>19</v>
      </c>
      <c r="C76" s="13" t="n">
        <v>3</v>
      </c>
      <c r="D76" s="13" t="s">
        <v>1531</v>
      </c>
      <c r="E76" s="13" t="s">
        <v>1525</v>
      </c>
      <c r="F76" s="13" t="n">
        <v>21</v>
      </c>
    </row>
    <row r="77" customFormat="false" ht="15" hidden="false" customHeight="false" outlineLevel="0" collapsed="false">
      <c r="A77" s="13" t="s">
        <v>1658</v>
      </c>
      <c r="B77" s="13" t="n">
        <v>20</v>
      </c>
      <c r="C77" s="13" t="n">
        <v>3</v>
      </c>
      <c r="D77" s="13" t="s">
        <v>1533</v>
      </c>
      <c r="E77" s="13" t="s">
        <v>1518</v>
      </c>
      <c r="F77" s="13" t="n">
        <v>21</v>
      </c>
    </row>
    <row r="78" customFormat="false" ht="15" hidden="false" customHeight="false" outlineLevel="0" collapsed="false">
      <c r="A78" s="13" t="s">
        <v>1658</v>
      </c>
      <c r="B78" s="13" t="n">
        <v>21</v>
      </c>
      <c r="C78" s="13" t="n">
        <v>3</v>
      </c>
      <c r="D78" s="13" t="s">
        <v>1446</v>
      </c>
      <c r="E78" s="13" t="s">
        <v>1447</v>
      </c>
      <c r="F78" s="13" t="n">
        <v>9</v>
      </c>
    </row>
    <row r="79" customFormat="false" ht="15" hidden="false" customHeight="false" outlineLevel="0" collapsed="false">
      <c r="A79" s="13" t="s">
        <v>1658</v>
      </c>
      <c r="B79" s="13" t="n">
        <v>22</v>
      </c>
      <c r="C79" s="13" t="n">
        <v>4</v>
      </c>
      <c r="D79" s="13" t="s">
        <v>1537</v>
      </c>
      <c r="E79" s="13" t="s">
        <v>1525</v>
      </c>
      <c r="F79" s="13" t="n">
        <v>24</v>
      </c>
    </row>
    <row r="80" customFormat="false" ht="15" hidden="false" customHeight="false" outlineLevel="0" collapsed="false">
      <c r="A80" s="13" t="s">
        <v>1658</v>
      </c>
      <c r="B80" s="13" t="n">
        <v>23</v>
      </c>
      <c r="C80" s="13" t="n">
        <v>4</v>
      </c>
      <c r="D80" s="13" t="s">
        <v>1539</v>
      </c>
      <c r="E80" s="13" t="s">
        <v>1518</v>
      </c>
      <c r="F80" s="13" t="n">
        <v>24</v>
      </c>
    </row>
    <row r="81" customFormat="false" ht="15" hidden="false" customHeight="false" outlineLevel="0" collapsed="false">
      <c r="A81" s="13" t="s">
        <v>1658</v>
      </c>
      <c r="B81" s="13" t="n">
        <v>24</v>
      </c>
      <c r="C81" s="13" t="n">
        <v>4</v>
      </c>
      <c r="D81" s="13" t="s">
        <v>1434</v>
      </c>
      <c r="E81" s="13" t="s">
        <v>1435</v>
      </c>
      <c r="F81" s="13" t="n">
        <v>9</v>
      </c>
    </row>
    <row r="82" customFormat="false" ht="15" hidden="false" customHeight="false" outlineLevel="0" collapsed="false">
      <c r="A82" s="13" t="s">
        <v>1658</v>
      </c>
      <c r="B82" s="13" t="n">
        <v>25</v>
      </c>
      <c r="C82" s="13" t="n">
        <v>4</v>
      </c>
      <c r="D82" s="13" t="s">
        <v>1541</v>
      </c>
      <c r="E82" s="13" t="s">
        <v>1522</v>
      </c>
      <c r="F82" s="13" t="n">
        <v>23</v>
      </c>
    </row>
    <row r="83" customFormat="false" ht="15" hidden="false" customHeight="false" outlineLevel="0" collapsed="false">
      <c r="A83" s="13" t="s">
        <v>1658</v>
      </c>
      <c r="B83" s="13" t="n">
        <v>26</v>
      </c>
      <c r="C83" s="13" t="n">
        <v>4</v>
      </c>
      <c r="D83" s="13" t="s">
        <v>1537</v>
      </c>
      <c r="E83" s="13" t="s">
        <v>1525</v>
      </c>
      <c r="F83" s="13" t="n">
        <v>24</v>
      </c>
    </row>
    <row r="84" customFormat="false" ht="15" hidden="false" customHeight="false" outlineLevel="0" collapsed="false">
      <c r="A84" s="13" t="s">
        <v>1658</v>
      </c>
      <c r="B84" s="13" t="n">
        <v>27</v>
      </c>
      <c r="C84" s="13" t="n">
        <v>4</v>
      </c>
      <c r="D84" s="13" t="s">
        <v>1539</v>
      </c>
      <c r="E84" s="13" t="s">
        <v>1518</v>
      </c>
      <c r="F84" s="13" t="n">
        <v>24</v>
      </c>
    </row>
    <row r="85" customFormat="false" ht="15" hidden="false" customHeight="false" outlineLevel="0" collapsed="false">
      <c r="A85" s="13" t="s">
        <v>1658</v>
      </c>
      <c r="B85" s="13" t="n">
        <v>28</v>
      </c>
      <c r="C85" s="13" t="n">
        <v>4</v>
      </c>
      <c r="D85" s="13" t="s">
        <v>1450</v>
      </c>
      <c r="E85" s="13" t="s">
        <v>1451</v>
      </c>
      <c r="F85" s="13" t="n">
        <v>10</v>
      </c>
    </row>
    <row r="87" customFormat="false" ht="15" hidden="false" customHeight="false" outlineLevel="0" collapsed="false">
      <c r="A87" s="16" t="s">
        <v>1652</v>
      </c>
      <c r="B87" s="16" t="s">
        <v>3</v>
      </c>
      <c r="C87" s="16" t="s">
        <v>9</v>
      </c>
      <c r="D87" s="16" t="s">
        <v>1419</v>
      </c>
    </row>
    <row r="88" customFormat="false" ht="74.6" hidden="false" customHeight="false" outlineLevel="0" collapsed="false">
      <c r="A88" s="17" t="s">
        <v>1656</v>
      </c>
      <c r="B88" s="18"/>
      <c r="C88" s="18"/>
      <c r="D88" s="19" t="s">
        <v>1659</v>
      </c>
    </row>
    <row r="89" customFormat="false" ht="74.6" hidden="false" customHeight="false" outlineLevel="0" collapsed="false">
      <c r="A89" s="17" t="s">
        <v>1657</v>
      </c>
      <c r="B89" s="18"/>
      <c r="C89" s="18"/>
      <c r="D89" s="19" t="s">
        <v>1660</v>
      </c>
    </row>
    <row r="90" customFormat="false" ht="64.15" hidden="false" customHeight="false" outlineLevel="0" collapsed="false">
      <c r="A90" s="17" t="s">
        <v>1658</v>
      </c>
      <c r="B90" s="18"/>
      <c r="C90" s="18"/>
      <c r="D90" s="19" t="s">
        <v>1661</v>
      </c>
    </row>
  </sheetData>
  <autoFilter ref="A1:F85"/>
  <dataValidations count="1">
    <dataValidation allowBlank="true" errorStyle="stop" operator="between" showDropDown="false" showErrorMessage="false" showInputMessage="false" sqref="B88:B90" type="list">
      <formula1>"oui,non,à revoir"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2026-10-26T23:19:52Z</dcterms:created>
  <dc:creator>openpyxl</dc:creator>
  <dc:description/>
  <dc:language>en-US</dc:language>
  <cp:lastModifiedBy/>
  <dcterms:modified xsi:type="dcterms:W3CDTF">2026-10-26T23:19:52Z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